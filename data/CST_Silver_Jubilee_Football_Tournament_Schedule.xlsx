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30753AAC-4B84-8E48-A60D-3222A75C30CF}" xr6:coauthVersionLast="46" xr6:coauthVersionMax="46" xr10:uidLastSave="{00000000-0000-0000-0000-000000000000}"/>
  <bookViews>
    <workbookView xWindow="0" yWindow="660" windowWidth="30240" windowHeight="18980" tabRatio="500" activeTab="1" xr2:uid="{00000000-000D-0000-FFFF-FFFF00000000}"/>
  </bookViews>
  <sheets>
    <sheet name="Overview" sheetId="1" r:id="rId1"/>
    <sheet name="Match Schedule" sheetId="2" r:id="rId2"/>
    <sheet name="Team Schedule" sheetId="3" r:id="rId3"/>
    <sheet name="Groups A-H" sheetId="4" r:id="rId4"/>
    <sheet name="Group Fixtures" sheetId="5" r:id="rId5"/>
    <sheet name="Standings" sheetId="6" r:id="rId6"/>
    <sheet name="Qualifiers" sheetId="7" r:id="rId7"/>
    <sheet name="Round of 16" sheetId="8" r:id="rId8"/>
    <sheet name="Quarter-Finals" sheetId="9" r:id="rId9"/>
    <sheet name="Semi-Finals" sheetId="10" r:id="rId10"/>
    <sheet name="Final" sheetId="11" r:id="rId11"/>
  </sheets>
  <definedNames>
    <definedName name="_xlnm.Print_Titles" localSheetId="1">'Match Schedule'!$5:$5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" i="11" l="1"/>
  <c r="H4" i="11"/>
  <c r="F4" i="11"/>
  <c r="B4" i="11"/>
  <c r="J5" i="10"/>
  <c r="I5" i="10"/>
  <c r="H5" i="10"/>
  <c r="F5" i="10"/>
  <c r="C4" i="11" s="1"/>
  <c r="J79" i="2" s="1"/>
  <c r="C5" i="10"/>
  <c r="B5" i="10"/>
  <c r="J4" i="10"/>
  <c r="I4" i="10"/>
  <c r="H4" i="10"/>
  <c r="F4" i="10"/>
  <c r="I7" i="9"/>
  <c r="H7" i="9"/>
  <c r="F7" i="9"/>
  <c r="C7" i="9"/>
  <c r="B7" i="9"/>
  <c r="I6" i="9"/>
  <c r="H6" i="9"/>
  <c r="F6" i="9"/>
  <c r="I5" i="9"/>
  <c r="H5" i="9"/>
  <c r="F5" i="9"/>
  <c r="C4" i="10" s="1"/>
  <c r="J75" i="2" s="1"/>
  <c r="B5" i="9"/>
  <c r="I4" i="9"/>
  <c r="H4" i="9"/>
  <c r="F4" i="9"/>
  <c r="B4" i="10" s="1"/>
  <c r="I75" i="2" s="1"/>
  <c r="I11" i="8"/>
  <c r="H11" i="8"/>
  <c r="F11" i="8"/>
  <c r="I10" i="8"/>
  <c r="H10" i="8"/>
  <c r="F10" i="8"/>
  <c r="I9" i="8"/>
  <c r="H9" i="8"/>
  <c r="F9" i="8"/>
  <c r="C6" i="9" s="1"/>
  <c r="J71" i="2" s="1"/>
  <c r="I8" i="8"/>
  <c r="H8" i="8"/>
  <c r="F8" i="8"/>
  <c r="B6" i="9" s="1"/>
  <c r="I71" i="2" s="1"/>
  <c r="I7" i="8"/>
  <c r="H7" i="8"/>
  <c r="F7" i="8"/>
  <c r="C5" i="9" s="1"/>
  <c r="J70" i="2" s="1"/>
  <c r="I6" i="8"/>
  <c r="H6" i="8"/>
  <c r="F6" i="8"/>
  <c r="I5" i="8"/>
  <c r="H5" i="8"/>
  <c r="F5" i="8"/>
  <c r="C4" i="9" s="1"/>
  <c r="J69" i="2" s="1"/>
  <c r="I4" i="8"/>
  <c r="H4" i="8"/>
  <c r="F4" i="8"/>
  <c r="B4" i="9" s="1"/>
  <c r="I69" i="2" s="1"/>
  <c r="G59" i="6"/>
  <c r="F59" i="6"/>
  <c r="H59" i="6" s="1"/>
  <c r="D59" i="6"/>
  <c r="C59" i="6"/>
  <c r="I59" i="6" s="1"/>
  <c r="K59" i="6" s="1"/>
  <c r="B59" i="6"/>
  <c r="E59" i="6" s="1"/>
  <c r="G58" i="6"/>
  <c r="F58" i="6"/>
  <c r="H58" i="6" s="1"/>
  <c r="E58" i="6"/>
  <c r="D58" i="6"/>
  <c r="I58" i="6" s="1"/>
  <c r="C58" i="6"/>
  <c r="B58" i="6"/>
  <c r="G57" i="6"/>
  <c r="F57" i="6"/>
  <c r="H57" i="6" s="1"/>
  <c r="D57" i="6"/>
  <c r="E57" i="6" s="1"/>
  <c r="C57" i="6"/>
  <c r="I57" i="6" s="1"/>
  <c r="K57" i="6" s="1"/>
  <c r="B57" i="6"/>
  <c r="G56" i="6"/>
  <c r="F56" i="6"/>
  <c r="H56" i="6" s="1"/>
  <c r="D56" i="6"/>
  <c r="C56" i="6"/>
  <c r="I56" i="6" s="1"/>
  <c r="B56" i="6"/>
  <c r="E56" i="6" s="1"/>
  <c r="G52" i="6"/>
  <c r="F52" i="6"/>
  <c r="H52" i="6" s="1"/>
  <c r="D52" i="6"/>
  <c r="C52" i="6"/>
  <c r="I52" i="6" s="1"/>
  <c r="K52" i="6" s="1"/>
  <c r="B52" i="6"/>
  <c r="E52" i="6" s="1"/>
  <c r="G51" i="6"/>
  <c r="F51" i="6"/>
  <c r="H51" i="6" s="1"/>
  <c r="D51" i="6"/>
  <c r="C51" i="6"/>
  <c r="I51" i="6" s="1"/>
  <c r="B51" i="6"/>
  <c r="I50" i="6"/>
  <c r="G50" i="6"/>
  <c r="F50" i="6"/>
  <c r="H50" i="6" s="1"/>
  <c r="K50" i="6" s="1"/>
  <c r="E50" i="6"/>
  <c r="D50" i="6"/>
  <c r="C50" i="6"/>
  <c r="B50" i="6"/>
  <c r="G49" i="6"/>
  <c r="F49" i="6"/>
  <c r="H49" i="6" s="1"/>
  <c r="D49" i="6"/>
  <c r="C49" i="6"/>
  <c r="E49" i="6" s="1"/>
  <c r="B49" i="6"/>
  <c r="G45" i="6"/>
  <c r="F45" i="6"/>
  <c r="H45" i="6" s="1"/>
  <c r="E45" i="6"/>
  <c r="D45" i="6"/>
  <c r="C45" i="6"/>
  <c r="I45" i="6" s="1"/>
  <c r="K45" i="6" s="1"/>
  <c r="B45" i="6"/>
  <c r="G44" i="6"/>
  <c r="F44" i="6"/>
  <c r="H44" i="6" s="1"/>
  <c r="D44" i="6"/>
  <c r="C44" i="6"/>
  <c r="I44" i="6" s="1"/>
  <c r="K44" i="6" s="1"/>
  <c r="J44" i="6" s="1"/>
  <c r="B44" i="6"/>
  <c r="E44" i="6" s="1"/>
  <c r="I43" i="6"/>
  <c r="K43" i="6" s="1"/>
  <c r="G43" i="6"/>
  <c r="F43" i="6"/>
  <c r="H43" i="6" s="1"/>
  <c r="D43" i="6"/>
  <c r="C43" i="6"/>
  <c r="B43" i="6"/>
  <c r="E43" i="6" s="1"/>
  <c r="I42" i="6"/>
  <c r="G42" i="6"/>
  <c r="F42" i="6"/>
  <c r="H42" i="6" s="1"/>
  <c r="K42" i="6" s="1"/>
  <c r="E42" i="6"/>
  <c r="D42" i="6"/>
  <c r="C42" i="6"/>
  <c r="B42" i="6"/>
  <c r="I38" i="6"/>
  <c r="K38" i="6" s="1"/>
  <c r="H38" i="6"/>
  <c r="G38" i="6"/>
  <c r="F38" i="6"/>
  <c r="E38" i="6"/>
  <c r="D38" i="6"/>
  <c r="C38" i="6"/>
  <c r="B38" i="6"/>
  <c r="G37" i="6"/>
  <c r="F37" i="6"/>
  <c r="H37" i="6" s="1"/>
  <c r="D37" i="6"/>
  <c r="C37" i="6"/>
  <c r="I37" i="6" s="1"/>
  <c r="B37" i="6"/>
  <c r="E37" i="6" s="1"/>
  <c r="G36" i="6"/>
  <c r="F36" i="6"/>
  <c r="H36" i="6" s="1"/>
  <c r="D36" i="6"/>
  <c r="E36" i="6" s="1"/>
  <c r="C36" i="6"/>
  <c r="I36" i="6" s="1"/>
  <c r="K36" i="6" s="1"/>
  <c r="B36" i="6"/>
  <c r="G35" i="6"/>
  <c r="F35" i="6"/>
  <c r="H35" i="6" s="1"/>
  <c r="D35" i="6"/>
  <c r="C35" i="6"/>
  <c r="I35" i="6" s="1"/>
  <c r="K35" i="6" s="1"/>
  <c r="B35" i="6"/>
  <c r="E35" i="6" s="1"/>
  <c r="I31" i="6"/>
  <c r="K31" i="6" s="1"/>
  <c r="H31" i="6"/>
  <c r="G31" i="6"/>
  <c r="F31" i="6"/>
  <c r="D31" i="6"/>
  <c r="C31" i="6"/>
  <c r="B31" i="6"/>
  <c r="E31" i="6" s="1"/>
  <c r="I30" i="6"/>
  <c r="G30" i="6"/>
  <c r="F30" i="6"/>
  <c r="H30" i="6" s="1"/>
  <c r="K30" i="6" s="1"/>
  <c r="E30" i="6"/>
  <c r="D30" i="6"/>
  <c r="C30" i="6"/>
  <c r="B30" i="6"/>
  <c r="I29" i="6"/>
  <c r="K29" i="6" s="1"/>
  <c r="H29" i="6"/>
  <c r="G29" i="6"/>
  <c r="F29" i="6"/>
  <c r="E29" i="6"/>
  <c r="D29" i="6"/>
  <c r="C29" i="6"/>
  <c r="B29" i="6"/>
  <c r="G28" i="6"/>
  <c r="F28" i="6"/>
  <c r="H28" i="6" s="1"/>
  <c r="D28" i="6"/>
  <c r="C28" i="6"/>
  <c r="E28" i="6" s="1"/>
  <c r="B28" i="6"/>
  <c r="G24" i="6"/>
  <c r="F24" i="6"/>
  <c r="H24" i="6" s="1"/>
  <c r="D24" i="6"/>
  <c r="C24" i="6"/>
  <c r="E24" i="6" s="1"/>
  <c r="B24" i="6"/>
  <c r="G23" i="6"/>
  <c r="F23" i="6"/>
  <c r="H23" i="6" s="1"/>
  <c r="D23" i="6"/>
  <c r="C23" i="6"/>
  <c r="I23" i="6" s="1"/>
  <c r="B23" i="6"/>
  <c r="E23" i="6" s="1"/>
  <c r="I22" i="6"/>
  <c r="K22" i="6" s="1"/>
  <c r="H22" i="6"/>
  <c r="G22" i="6"/>
  <c r="F22" i="6"/>
  <c r="D22" i="6"/>
  <c r="C22" i="6"/>
  <c r="B22" i="6"/>
  <c r="E22" i="6" s="1"/>
  <c r="I21" i="6"/>
  <c r="G21" i="6"/>
  <c r="F21" i="6"/>
  <c r="H21" i="6" s="1"/>
  <c r="D21" i="6"/>
  <c r="E21" i="6" s="1"/>
  <c r="C21" i="6"/>
  <c r="B21" i="6"/>
  <c r="H17" i="6"/>
  <c r="G17" i="6"/>
  <c r="F17" i="6"/>
  <c r="D17" i="6"/>
  <c r="E17" i="6" s="1"/>
  <c r="C17" i="6"/>
  <c r="B17" i="6"/>
  <c r="G16" i="6"/>
  <c r="F16" i="6"/>
  <c r="H16" i="6" s="1"/>
  <c r="D16" i="6"/>
  <c r="C16" i="6"/>
  <c r="I16" i="6" s="1"/>
  <c r="B16" i="6"/>
  <c r="E16" i="6" s="1"/>
  <c r="G15" i="6"/>
  <c r="F15" i="6"/>
  <c r="H15" i="6" s="1"/>
  <c r="D15" i="6"/>
  <c r="E15" i="6" s="1"/>
  <c r="C15" i="6"/>
  <c r="I15" i="6" s="1"/>
  <c r="K15" i="6" s="1"/>
  <c r="B15" i="6"/>
  <c r="G14" i="6"/>
  <c r="F14" i="6"/>
  <c r="H14" i="6" s="1"/>
  <c r="D14" i="6"/>
  <c r="C14" i="6"/>
  <c r="I14" i="6" s="1"/>
  <c r="K14" i="6" s="1"/>
  <c r="B14" i="6"/>
  <c r="E14" i="6" s="1"/>
  <c r="I10" i="6"/>
  <c r="K10" i="6" s="1"/>
  <c r="G10" i="6"/>
  <c r="F10" i="6"/>
  <c r="H10" i="6" s="1"/>
  <c r="D10" i="6"/>
  <c r="C10" i="6"/>
  <c r="B10" i="6"/>
  <c r="E10" i="6" s="1"/>
  <c r="I9" i="6"/>
  <c r="G9" i="6"/>
  <c r="F9" i="6"/>
  <c r="H9" i="6" s="1"/>
  <c r="K9" i="6" s="1"/>
  <c r="D9" i="6"/>
  <c r="E9" i="6" s="1"/>
  <c r="C9" i="6"/>
  <c r="B9" i="6"/>
  <c r="G8" i="6"/>
  <c r="F8" i="6"/>
  <c r="H8" i="6" s="1"/>
  <c r="D8" i="6"/>
  <c r="E8" i="6" s="1"/>
  <c r="C8" i="6"/>
  <c r="B8" i="6"/>
  <c r="G7" i="6"/>
  <c r="F7" i="6"/>
  <c r="H7" i="6" s="1"/>
  <c r="D7" i="6"/>
  <c r="C7" i="6"/>
  <c r="I7" i="6" s="1"/>
  <c r="K7" i="6" s="1"/>
  <c r="B7" i="6"/>
  <c r="E7" i="6" s="1"/>
  <c r="G6" i="6"/>
  <c r="F6" i="6"/>
  <c r="H6" i="6" s="1"/>
  <c r="D6" i="6"/>
  <c r="E6" i="6" s="1"/>
  <c r="C6" i="6"/>
  <c r="I6" i="6" s="1"/>
  <c r="B6" i="6"/>
  <c r="J78" i="5"/>
  <c r="I78" i="5"/>
  <c r="H78" i="5"/>
  <c r="J77" i="5"/>
  <c r="I77" i="5"/>
  <c r="H77" i="5"/>
  <c r="J76" i="5"/>
  <c r="I76" i="5"/>
  <c r="H76" i="5"/>
  <c r="J75" i="5"/>
  <c r="I75" i="5"/>
  <c r="H75" i="5"/>
  <c r="J74" i="5"/>
  <c r="I74" i="5"/>
  <c r="H74" i="5"/>
  <c r="J73" i="5"/>
  <c r="I73" i="5"/>
  <c r="H73" i="5"/>
  <c r="J69" i="5"/>
  <c r="I69" i="5"/>
  <c r="H69" i="5"/>
  <c r="J68" i="5"/>
  <c r="I68" i="5"/>
  <c r="H68" i="5"/>
  <c r="J67" i="5"/>
  <c r="I67" i="5"/>
  <c r="H67" i="5"/>
  <c r="J66" i="5"/>
  <c r="I66" i="5"/>
  <c r="H66" i="5"/>
  <c r="J65" i="5"/>
  <c r="I65" i="5"/>
  <c r="H65" i="5"/>
  <c r="J64" i="5"/>
  <c r="I64" i="5"/>
  <c r="H64" i="5"/>
  <c r="J60" i="5"/>
  <c r="I60" i="5"/>
  <c r="H60" i="5"/>
  <c r="J59" i="5"/>
  <c r="I59" i="5"/>
  <c r="H59" i="5"/>
  <c r="J58" i="5"/>
  <c r="I58" i="5"/>
  <c r="H58" i="5"/>
  <c r="J57" i="5"/>
  <c r="I57" i="5"/>
  <c r="H57" i="5"/>
  <c r="J56" i="5"/>
  <c r="I56" i="5"/>
  <c r="H56" i="5"/>
  <c r="J55" i="5"/>
  <c r="I55" i="5"/>
  <c r="H55" i="5"/>
  <c r="J51" i="5"/>
  <c r="I51" i="5"/>
  <c r="H51" i="5"/>
  <c r="J50" i="5"/>
  <c r="I50" i="5"/>
  <c r="H50" i="5"/>
  <c r="J49" i="5"/>
  <c r="I49" i="5"/>
  <c r="H49" i="5"/>
  <c r="J48" i="5"/>
  <c r="I48" i="5"/>
  <c r="H48" i="5"/>
  <c r="J47" i="5"/>
  <c r="I47" i="5"/>
  <c r="H47" i="5"/>
  <c r="J46" i="5"/>
  <c r="I46" i="5"/>
  <c r="H46" i="5"/>
  <c r="J42" i="5"/>
  <c r="I42" i="5"/>
  <c r="H42" i="5"/>
  <c r="J41" i="5"/>
  <c r="I41" i="5"/>
  <c r="H41" i="5"/>
  <c r="J40" i="5"/>
  <c r="I40" i="5"/>
  <c r="H40" i="5"/>
  <c r="J39" i="5"/>
  <c r="I39" i="5"/>
  <c r="H39" i="5"/>
  <c r="J38" i="5"/>
  <c r="I38" i="5"/>
  <c r="H38" i="5"/>
  <c r="J37" i="5"/>
  <c r="I37" i="5"/>
  <c r="H37" i="5"/>
  <c r="J33" i="5"/>
  <c r="I33" i="5"/>
  <c r="H33" i="5"/>
  <c r="J32" i="5"/>
  <c r="I32" i="5"/>
  <c r="H32" i="5"/>
  <c r="J31" i="5"/>
  <c r="I31" i="5"/>
  <c r="H31" i="5"/>
  <c r="J30" i="5"/>
  <c r="I30" i="5"/>
  <c r="H30" i="5"/>
  <c r="J29" i="5"/>
  <c r="I29" i="5"/>
  <c r="H29" i="5"/>
  <c r="J28" i="5"/>
  <c r="I28" i="5"/>
  <c r="H28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J19" i="5"/>
  <c r="I19" i="5"/>
  <c r="H19" i="5"/>
  <c r="J15" i="5"/>
  <c r="I15" i="5"/>
  <c r="H15" i="5"/>
  <c r="J14" i="5"/>
  <c r="I14" i="5"/>
  <c r="H14" i="5"/>
  <c r="J13" i="5"/>
  <c r="I13" i="5"/>
  <c r="H13" i="5"/>
  <c r="J12" i="5"/>
  <c r="I12" i="5"/>
  <c r="H12" i="5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J6" i="5"/>
  <c r="I6" i="5"/>
  <c r="H6" i="5"/>
  <c r="I37" i="3"/>
  <c r="G37" i="3"/>
  <c r="E37" i="3"/>
  <c r="B37" i="3"/>
  <c r="I36" i="3"/>
  <c r="G36" i="3"/>
  <c r="E36" i="3"/>
  <c r="B36" i="3"/>
  <c r="I35" i="3"/>
  <c r="G35" i="3"/>
  <c r="E35" i="3"/>
  <c r="B35" i="3"/>
  <c r="I34" i="3"/>
  <c r="G34" i="3"/>
  <c r="E34" i="3"/>
  <c r="L34" i="3" s="1"/>
  <c r="B34" i="3"/>
  <c r="I33" i="3"/>
  <c r="G33" i="3"/>
  <c r="E33" i="3"/>
  <c r="B33" i="3"/>
  <c r="I32" i="3"/>
  <c r="G32" i="3"/>
  <c r="E32" i="3"/>
  <c r="B32" i="3"/>
  <c r="I31" i="3"/>
  <c r="G31" i="3"/>
  <c r="E31" i="3"/>
  <c r="B31" i="3"/>
  <c r="I30" i="3"/>
  <c r="G30" i="3"/>
  <c r="E30" i="3"/>
  <c r="B30" i="3"/>
  <c r="I29" i="3"/>
  <c r="G29" i="3"/>
  <c r="E29" i="3"/>
  <c r="B29" i="3"/>
  <c r="I28" i="3"/>
  <c r="G28" i="3"/>
  <c r="E28" i="3"/>
  <c r="B28" i="3"/>
  <c r="I27" i="3"/>
  <c r="G27" i="3"/>
  <c r="E27" i="3"/>
  <c r="B27" i="3"/>
  <c r="I26" i="3"/>
  <c r="G26" i="3"/>
  <c r="E26" i="3"/>
  <c r="B26" i="3"/>
  <c r="I25" i="3"/>
  <c r="G25" i="3"/>
  <c r="E25" i="3"/>
  <c r="B25" i="3"/>
  <c r="I24" i="3"/>
  <c r="G24" i="3"/>
  <c r="E24" i="3"/>
  <c r="B24" i="3"/>
  <c r="I23" i="3"/>
  <c r="G23" i="3"/>
  <c r="E23" i="3"/>
  <c r="B23" i="3"/>
  <c r="I22" i="3"/>
  <c r="G22" i="3"/>
  <c r="E22" i="3"/>
  <c r="L22" i="3" s="1"/>
  <c r="B22" i="3"/>
  <c r="I21" i="3"/>
  <c r="G21" i="3"/>
  <c r="E21" i="3"/>
  <c r="B21" i="3"/>
  <c r="I20" i="3"/>
  <c r="G20" i="3"/>
  <c r="E20" i="3"/>
  <c r="B20" i="3"/>
  <c r="I19" i="3"/>
  <c r="G19" i="3"/>
  <c r="E19" i="3"/>
  <c r="B19" i="3"/>
  <c r="I18" i="3"/>
  <c r="G18" i="3"/>
  <c r="E18" i="3"/>
  <c r="B18" i="3"/>
  <c r="I17" i="3"/>
  <c r="G17" i="3"/>
  <c r="E17" i="3"/>
  <c r="B17" i="3"/>
  <c r="I16" i="3"/>
  <c r="G16" i="3"/>
  <c r="E16" i="3"/>
  <c r="B16" i="3"/>
  <c r="I15" i="3"/>
  <c r="G15" i="3"/>
  <c r="E15" i="3"/>
  <c r="B15" i="3"/>
  <c r="I14" i="3"/>
  <c r="G14" i="3"/>
  <c r="E14" i="3"/>
  <c r="B14" i="3"/>
  <c r="I13" i="3"/>
  <c r="G13" i="3"/>
  <c r="E13" i="3"/>
  <c r="B13" i="3"/>
  <c r="I12" i="3"/>
  <c r="G12" i="3"/>
  <c r="E12" i="3"/>
  <c r="B12" i="3"/>
  <c r="I11" i="3"/>
  <c r="G11" i="3"/>
  <c r="E11" i="3"/>
  <c r="B11" i="3"/>
  <c r="I10" i="3"/>
  <c r="G10" i="3"/>
  <c r="E10" i="3"/>
  <c r="B10" i="3"/>
  <c r="K9" i="3"/>
  <c r="I9" i="3"/>
  <c r="G9" i="3"/>
  <c r="E9" i="3"/>
  <c r="B9" i="3"/>
  <c r="K8" i="3"/>
  <c r="I8" i="3"/>
  <c r="G8" i="3"/>
  <c r="E8" i="3"/>
  <c r="B8" i="3"/>
  <c r="K7" i="3"/>
  <c r="I7" i="3"/>
  <c r="G7" i="3"/>
  <c r="E7" i="3"/>
  <c r="B7" i="3"/>
  <c r="K6" i="3"/>
  <c r="I6" i="3"/>
  <c r="G6" i="3"/>
  <c r="E6" i="3"/>
  <c r="B6" i="3"/>
  <c r="K5" i="3"/>
  <c r="I5" i="3"/>
  <c r="G5" i="3"/>
  <c r="E5" i="3"/>
  <c r="B5" i="3"/>
  <c r="I79" i="2"/>
  <c r="C79" i="2"/>
  <c r="C77" i="2"/>
  <c r="J76" i="2"/>
  <c r="I76" i="2"/>
  <c r="C76" i="2"/>
  <c r="C75" i="2"/>
  <c r="C73" i="2"/>
  <c r="J72" i="2"/>
  <c r="I72" i="2"/>
  <c r="C72" i="2"/>
  <c r="C71" i="2"/>
  <c r="I70" i="2"/>
  <c r="C70" i="2"/>
  <c r="C69" i="2"/>
  <c r="J67" i="2"/>
  <c r="I67" i="2"/>
  <c r="C67" i="2"/>
  <c r="J66" i="2"/>
  <c r="I66" i="2"/>
  <c r="C66" i="2"/>
  <c r="J65" i="2"/>
  <c r="I65" i="2"/>
  <c r="C65" i="2"/>
  <c r="J64" i="2"/>
  <c r="I64" i="2"/>
  <c r="C64" i="2"/>
  <c r="J63" i="2"/>
  <c r="I63" i="2"/>
  <c r="C63" i="2"/>
  <c r="J62" i="2"/>
  <c r="I62" i="2"/>
  <c r="C62" i="2"/>
  <c r="J61" i="2"/>
  <c r="I61" i="2"/>
  <c r="C61" i="2"/>
  <c r="J60" i="2"/>
  <c r="I60" i="2"/>
  <c r="C60" i="2"/>
  <c r="J58" i="2"/>
  <c r="I58" i="2"/>
  <c r="C58" i="2"/>
  <c r="J57" i="2"/>
  <c r="I57" i="2"/>
  <c r="C57" i="2"/>
  <c r="J56" i="2"/>
  <c r="I56" i="2"/>
  <c r="C56" i="2"/>
  <c r="J55" i="2"/>
  <c r="I55" i="2"/>
  <c r="C55" i="2"/>
  <c r="J54" i="2"/>
  <c r="I54" i="2"/>
  <c r="C54" i="2"/>
  <c r="J53" i="2"/>
  <c r="I53" i="2"/>
  <c r="C53" i="2"/>
  <c r="J52" i="2"/>
  <c r="I52" i="2"/>
  <c r="C52" i="2"/>
  <c r="J51" i="2"/>
  <c r="I51" i="2"/>
  <c r="C51" i="2"/>
  <c r="J50" i="2"/>
  <c r="I50" i="2"/>
  <c r="C50" i="2"/>
  <c r="J49" i="2"/>
  <c r="I49" i="2"/>
  <c r="C49" i="2"/>
  <c r="J48" i="2"/>
  <c r="I48" i="2"/>
  <c r="C48" i="2"/>
  <c r="J47" i="2"/>
  <c r="I47" i="2"/>
  <c r="C47" i="2"/>
  <c r="J46" i="2"/>
  <c r="I46" i="2"/>
  <c r="C46" i="2"/>
  <c r="J45" i="2"/>
  <c r="I45" i="2"/>
  <c r="C45" i="2"/>
  <c r="J44" i="2"/>
  <c r="I44" i="2"/>
  <c r="C44" i="2"/>
  <c r="J43" i="2"/>
  <c r="I43" i="2"/>
  <c r="C43" i="2"/>
  <c r="J42" i="2"/>
  <c r="I42" i="2"/>
  <c r="C42" i="2"/>
  <c r="J41" i="2"/>
  <c r="I41" i="2"/>
  <c r="C41" i="2"/>
  <c r="J40" i="2"/>
  <c r="I40" i="2"/>
  <c r="C40" i="2"/>
  <c r="J39" i="2"/>
  <c r="I39" i="2"/>
  <c r="C39" i="2"/>
  <c r="J38" i="2"/>
  <c r="I38" i="2"/>
  <c r="C38" i="2"/>
  <c r="J37" i="2"/>
  <c r="I37" i="2"/>
  <c r="C37" i="2"/>
  <c r="J36" i="2"/>
  <c r="I36" i="2"/>
  <c r="C36" i="2"/>
  <c r="J35" i="2"/>
  <c r="I35" i="2"/>
  <c r="C35" i="2"/>
  <c r="J34" i="2"/>
  <c r="I34" i="2"/>
  <c r="C34" i="2"/>
  <c r="J33" i="2"/>
  <c r="I33" i="2"/>
  <c r="C33" i="2"/>
  <c r="J32" i="2"/>
  <c r="I32" i="2"/>
  <c r="C32" i="2"/>
  <c r="J31" i="2"/>
  <c r="I31" i="2"/>
  <c r="C31" i="2"/>
  <c r="J30" i="2"/>
  <c r="I30" i="2"/>
  <c r="C30" i="2"/>
  <c r="J29" i="2"/>
  <c r="I29" i="2"/>
  <c r="C29" i="2"/>
  <c r="J28" i="2"/>
  <c r="I28" i="2"/>
  <c r="C28" i="2"/>
  <c r="J27" i="2"/>
  <c r="I27" i="2"/>
  <c r="C27" i="2"/>
  <c r="J26" i="2"/>
  <c r="I26" i="2"/>
  <c r="C26" i="2"/>
  <c r="J25" i="2"/>
  <c r="I25" i="2"/>
  <c r="C25" i="2"/>
  <c r="J24" i="2"/>
  <c r="I24" i="2"/>
  <c r="C24" i="2"/>
  <c r="J23" i="2"/>
  <c r="I23" i="2"/>
  <c r="C23" i="2"/>
  <c r="J22" i="2"/>
  <c r="I22" i="2"/>
  <c r="C22" i="2"/>
  <c r="J21" i="2"/>
  <c r="I21" i="2"/>
  <c r="C21" i="2"/>
  <c r="J20" i="2"/>
  <c r="I20" i="2"/>
  <c r="C20" i="2"/>
  <c r="J19" i="2"/>
  <c r="I19" i="2"/>
  <c r="C19" i="2"/>
  <c r="J18" i="2"/>
  <c r="I18" i="2"/>
  <c r="C18" i="2"/>
  <c r="J17" i="2"/>
  <c r="I17" i="2"/>
  <c r="C17" i="2"/>
  <c r="J16" i="2"/>
  <c r="I16" i="2"/>
  <c r="C16" i="2"/>
  <c r="J15" i="2"/>
  <c r="I15" i="2"/>
  <c r="C15" i="2"/>
  <c r="J14" i="2"/>
  <c r="I14" i="2"/>
  <c r="C14" i="2"/>
  <c r="J13" i="2"/>
  <c r="I13" i="2"/>
  <c r="C13" i="2"/>
  <c r="J12" i="2"/>
  <c r="I12" i="2"/>
  <c r="C12" i="2"/>
  <c r="J11" i="2"/>
  <c r="I11" i="2"/>
  <c r="C11" i="2"/>
  <c r="J10" i="2"/>
  <c r="I10" i="2"/>
  <c r="C10" i="2"/>
  <c r="J9" i="2"/>
  <c r="I9" i="2"/>
  <c r="C9" i="2"/>
  <c r="J8" i="2"/>
  <c r="I8" i="2"/>
  <c r="C8" i="2"/>
  <c r="J7" i="2"/>
  <c r="I7" i="2"/>
  <c r="C7" i="2"/>
  <c r="L20" i="3" l="1"/>
  <c r="L29" i="3"/>
  <c r="L19" i="3"/>
  <c r="L13" i="3"/>
  <c r="L16" i="3"/>
  <c r="L28" i="3"/>
  <c r="L32" i="3"/>
  <c r="L33" i="3"/>
  <c r="L8" i="3"/>
  <c r="L6" i="3"/>
  <c r="L12" i="3"/>
  <c r="L9" i="3"/>
  <c r="L15" i="3"/>
  <c r="L18" i="3"/>
  <c r="L7" i="3"/>
  <c r="L10" i="3"/>
  <c r="L21" i="3"/>
  <c r="L27" i="3"/>
  <c r="L30" i="3"/>
  <c r="L36" i="3"/>
  <c r="L5" i="3"/>
  <c r="L11" i="3"/>
  <c r="L14" i="3"/>
  <c r="L35" i="3"/>
  <c r="L24" i="3"/>
  <c r="L25" i="3"/>
  <c r="L31" i="3"/>
  <c r="L17" i="3"/>
  <c r="L37" i="3"/>
  <c r="L23" i="3"/>
  <c r="L26" i="3"/>
  <c r="K6" i="6"/>
  <c r="K37" i="6"/>
  <c r="J37" i="6" s="1"/>
  <c r="J43" i="6"/>
  <c r="K16" i="6"/>
  <c r="J15" i="6" s="1"/>
  <c r="K23" i="6"/>
  <c r="J23" i="6" s="1"/>
  <c r="K51" i="6"/>
  <c r="J51" i="6" s="1"/>
  <c r="J9" i="6"/>
  <c r="J52" i="6"/>
  <c r="J42" i="6"/>
  <c r="J29" i="6"/>
  <c r="K58" i="6"/>
  <c r="J58" i="6" s="1"/>
  <c r="K21" i="6"/>
  <c r="J21" i="6" s="1"/>
  <c r="J57" i="6"/>
  <c r="J36" i="6"/>
  <c r="J45" i="6"/>
  <c r="K56" i="6"/>
  <c r="I28" i="6"/>
  <c r="K28" i="6" s="1"/>
  <c r="J28" i="6" s="1"/>
  <c r="I49" i="6"/>
  <c r="K49" i="6" s="1"/>
  <c r="I8" i="6"/>
  <c r="K8" i="6" s="1"/>
  <c r="J8" i="6" s="1"/>
  <c r="I24" i="6"/>
  <c r="K24" i="6" s="1"/>
  <c r="I17" i="6"/>
  <c r="K17" i="6" s="1"/>
  <c r="J17" i="6" s="1"/>
  <c r="E51" i="6"/>
  <c r="B7" i="7" l="1"/>
  <c r="B5" i="8" s="1"/>
  <c r="C10" i="7"/>
  <c r="C6" i="8" s="1"/>
  <c r="B10" i="7"/>
  <c r="B10" i="8" s="1"/>
  <c r="J6" i="6"/>
  <c r="J24" i="6"/>
  <c r="J10" i="6"/>
  <c r="C8" i="7"/>
  <c r="C5" i="8" s="1"/>
  <c r="B8" i="7"/>
  <c r="B9" i="8" s="1"/>
  <c r="J31" i="6"/>
  <c r="J38" i="6"/>
  <c r="J30" i="6"/>
  <c r="J16" i="6"/>
  <c r="J49" i="6"/>
  <c r="J59" i="6"/>
  <c r="J56" i="6"/>
  <c r="J50" i="6"/>
  <c r="J7" i="6"/>
  <c r="J22" i="6"/>
  <c r="C7" i="7" s="1"/>
  <c r="C9" i="8" s="1"/>
  <c r="J14" i="6"/>
  <c r="J35" i="6"/>
  <c r="B9" i="7" l="1"/>
  <c r="B6" i="8" s="1"/>
  <c r="C9" i="7"/>
  <c r="C10" i="8" s="1"/>
  <c r="C5" i="7"/>
  <c r="C8" i="8" s="1"/>
  <c r="B5" i="7"/>
  <c r="B4" i="8" s="1"/>
  <c r="C12" i="7"/>
  <c r="C7" i="8" s="1"/>
  <c r="B12" i="7"/>
  <c r="B11" i="8" s="1"/>
  <c r="C6" i="7"/>
  <c r="C4" i="8" s="1"/>
  <c r="B6" i="7"/>
  <c r="B8" i="8" s="1"/>
  <c r="C11" i="7"/>
  <c r="C11" i="8" s="1"/>
  <c r="B11" i="7"/>
  <c r="B7" i="8" s="1"/>
</calcChain>
</file>

<file path=xl/sharedStrings.xml><?xml version="1.0" encoding="utf-8"?>
<sst xmlns="http://schemas.openxmlformats.org/spreadsheetml/2006/main" count="984" uniqueCount="261">
  <si>
    <t>CST SILVER JUBILEE DEPARTMENTAL FOOTBALL TOURNAMENT</t>
  </si>
  <si>
    <t>League-cum-Knockout Format | 33 Teams | 8 Groups (A-H) | All matches at CST Artificial Turf</t>
  </si>
  <si>
    <t>TOURNAMENT SUMMARY</t>
  </si>
  <si>
    <t>Total Registered Teams</t>
  </si>
  <si>
    <t>Total Groups</t>
  </si>
  <si>
    <t>8 (Group A to Group H)</t>
  </si>
  <si>
    <t>Group Sizes</t>
  </si>
  <si>
    <t>Group A = 5 teams (A1-A5)  |  Groups B-H = 4 teams each</t>
  </si>
  <si>
    <t>Venue</t>
  </si>
  <si>
    <t>CST Artificial Turf (single venue - one match at a time, no home/away)</t>
  </si>
  <si>
    <t>Group Stage Format</t>
  </si>
  <si>
    <t>Single round-robin (league) within each group</t>
  </si>
  <si>
    <t>Total Group Stage Matches</t>
  </si>
  <si>
    <t>Qualification</t>
  </si>
  <si>
    <t>Top 2 teams from each group (Winner + Runner-up) advance</t>
  </si>
  <si>
    <t>Teams Advancing to Knockout</t>
  </si>
  <si>
    <t>Knockout Rounds</t>
  </si>
  <si>
    <t>Round of 16 -&gt; Quarter-finals -&gt; Semi-finals -&gt; Final</t>
  </si>
  <si>
    <t>Total Knockout Matches</t>
  </si>
  <si>
    <t>GROUP COMPOSITION</t>
  </si>
  <si>
    <t>Group</t>
  </si>
  <si>
    <t>No. of Teams</t>
  </si>
  <si>
    <t>Team Codes (example)</t>
  </si>
  <si>
    <t>Matches (round-robin)</t>
  </si>
  <si>
    <t>Match Days</t>
  </si>
  <si>
    <t>Group A</t>
  </si>
  <si>
    <t>A1, A2, A3, A4, A5</t>
  </si>
  <si>
    <t>CST Artificial Turf</t>
  </si>
  <si>
    <t>Group B</t>
  </si>
  <si>
    <t>B1, B2, B3, B4</t>
  </si>
  <si>
    <t>Group C</t>
  </si>
  <si>
    <t>C1, C2, C3, C4</t>
  </si>
  <si>
    <t>Group D</t>
  </si>
  <si>
    <t>D1, D2, D3, D4</t>
  </si>
  <si>
    <t>Group E</t>
  </si>
  <si>
    <t>E1, E2, E3, E4</t>
  </si>
  <si>
    <t>Group F</t>
  </si>
  <si>
    <t>F1, F2, F3, F4</t>
  </si>
  <si>
    <t>Group G</t>
  </si>
  <si>
    <t>G1, G2, G3, G4</t>
  </si>
  <si>
    <t>Group H</t>
  </si>
  <si>
    <t>H1, H2, H3, H4</t>
  </si>
  <si>
    <t>SCHEDULE SUMMARY</t>
  </si>
  <si>
    <t>Tournament Dates</t>
  </si>
  <si>
    <t>Sat 26 Sep 2026 (opening, 6:30-8:30 PM) to Fri 30 Oct 2026 (Final)</t>
  </si>
  <si>
    <t>Weekday Slots</t>
  </si>
  <si>
    <t>6:00-8:00 PM and 8:00-10:00 PM (2 matches)</t>
  </si>
  <si>
    <t>Weekend Slots</t>
  </si>
  <si>
    <t>4:00-6:00 PM, 6:00-8:00 PM and 8:00-10:00 PM (3 matches)</t>
  </si>
  <si>
    <t>Group Stage</t>
  </si>
  <si>
    <t>26 Sep - 18 Oct 2026 (52 matches)</t>
  </si>
  <si>
    <t>Round of 16</t>
  </si>
  <si>
    <t>19 - 22 Oct 2026 (8 matches)</t>
  </si>
  <si>
    <t>Quarter-Finals</t>
  </si>
  <si>
    <t>23, 25 Oct 2026 (4 matches) - no match 24 Oct (ground engaged for BUSF); rest day 26 Oct</t>
  </si>
  <si>
    <t>Semi-Finals</t>
  </si>
  <si>
    <t>SF1 Tue 27 Oct &amp; SF2 Wed 28 Oct 2026, 6:00-8:00 PM (one match per day)</t>
  </si>
  <si>
    <t>Final</t>
  </si>
  <si>
    <t>3rd Place Match: Thu 29 Oct 2026, 6:00-8:00 PM  |  Final: Fri 30 Oct 2026, 6:00-8:00 PM</t>
  </si>
  <si>
    <t>Full schedule</t>
  </si>
  <si>
    <t>See "Match Schedule" sheet (68 matches) and "Team Schedule" sheet</t>
  </si>
  <si>
    <t>CST SILVER JUBILEE DEPARTMENTAL FOOTBALL TOURNAMENT - MATCH SCHEDULE</t>
  </si>
  <si>
    <t>26 September - 30 October 2026  |  CST Artificial Turf  |  Weekdays: 6-8 PM &amp; 8-10 PM  |  Weekends: 4-6 PM, 6-8 PM &amp; 8-10 PM  |  Opening match: Sat 26 Sep, 6:30-8:30 PM</t>
  </si>
  <si>
    <t>Legend:  yellow rows = weekend  |  orange = opening match  |  green = knockout  |  grey = rest day.  Team names fill in automatically (knockout names appear once results are entered).</t>
  </si>
  <si>
    <t>Match No.</t>
  </si>
  <si>
    <t>Date</t>
  </si>
  <si>
    <t>Day</t>
  </si>
  <si>
    <t>Time</t>
  </si>
  <si>
    <t>Stage</t>
  </si>
  <si>
    <t>Team 1</t>
  </si>
  <si>
    <t>Team 2</t>
  </si>
  <si>
    <t>Team 1 Name</t>
  </si>
  <si>
    <t>Team 2 Name</t>
  </si>
  <si>
    <t>Remarks</t>
  </si>
  <si>
    <t>GROUP STAGE  (52 matches: 26 Sep - 18 Oct 2026)</t>
  </si>
  <si>
    <t>6:30 PM - 8:30 PM</t>
  </si>
  <si>
    <t>A</t>
  </si>
  <si>
    <t>A3</t>
  </si>
  <si>
    <t>A4</t>
  </si>
  <si>
    <t>OPENING MATCH (Group A) - inaugural ceremony</t>
  </si>
  <si>
    <t>4:00 PM - 6:00 PM</t>
  </si>
  <si>
    <t>D</t>
  </si>
  <si>
    <t>D1</t>
  </si>
  <si>
    <t>D4</t>
  </si>
  <si>
    <t>6:00 PM - 8:00 PM</t>
  </si>
  <si>
    <t>H</t>
  </si>
  <si>
    <t>H1</t>
  </si>
  <si>
    <t>H4</t>
  </si>
  <si>
    <t>8:00 PM - 10:00 PM</t>
  </si>
  <si>
    <t>B</t>
  </si>
  <si>
    <t>B2</t>
  </si>
  <si>
    <t>B3</t>
  </si>
  <si>
    <t>F</t>
  </si>
  <si>
    <t>F1</t>
  </si>
  <si>
    <t>F4</t>
  </si>
  <si>
    <t>D2</t>
  </si>
  <si>
    <t>D3</t>
  </si>
  <si>
    <t>B1</t>
  </si>
  <si>
    <t>B4</t>
  </si>
  <si>
    <t>H2</t>
  </si>
  <si>
    <t>H3</t>
  </si>
  <si>
    <t>A2</t>
  </si>
  <si>
    <t>A5</t>
  </si>
  <si>
    <t>F2</t>
  </si>
  <si>
    <t>F3</t>
  </si>
  <si>
    <t>C</t>
  </si>
  <si>
    <t>C1</t>
  </si>
  <si>
    <t>C4</t>
  </si>
  <si>
    <t>C2</t>
  </si>
  <si>
    <t>C3</t>
  </si>
  <si>
    <t>A1</t>
  </si>
  <si>
    <t>E</t>
  </si>
  <si>
    <t>E2</t>
  </si>
  <si>
    <t>E3</t>
  </si>
  <si>
    <t>E1</t>
  </si>
  <si>
    <t>E4</t>
  </si>
  <si>
    <t>G</t>
  </si>
  <si>
    <t>G1</t>
  </si>
  <si>
    <t>G4</t>
  </si>
  <si>
    <t>G2</t>
  </si>
  <si>
    <t>G3</t>
  </si>
  <si>
    <t>Group B final matchday</t>
  </si>
  <si>
    <t>Group F final matchday</t>
  </si>
  <si>
    <t>Group D final matchday</t>
  </si>
  <si>
    <t>Group C final matchday</t>
  </si>
  <si>
    <t xml:space="preserve">Group H final matchday </t>
  </si>
  <si>
    <t>Group E final matchday</t>
  </si>
  <si>
    <t>ROUND OF 16  (19 - 22 Oct 2026)</t>
  </si>
  <si>
    <t>R16-M1</t>
  </si>
  <si>
    <t>Winner Group A</t>
  </si>
  <si>
    <t>Runner-up Group B</t>
  </si>
  <si>
    <t>R16-M2</t>
  </si>
  <si>
    <t>Winner Group C</t>
  </si>
  <si>
    <t>Runner-up Group D</t>
  </si>
  <si>
    <t>R16-M4</t>
  </si>
  <si>
    <t>Winner Group G</t>
  </si>
  <si>
    <t>Runner-up Group H</t>
  </si>
  <si>
    <t>R16-M3</t>
  </si>
  <si>
    <t>Winner Group E</t>
  </si>
  <si>
    <t>Runner-up Group F</t>
  </si>
  <si>
    <t>R16-M5</t>
  </si>
  <si>
    <t>Winner Group B</t>
  </si>
  <si>
    <t>Runner-up Group A</t>
  </si>
  <si>
    <t>R16-M6</t>
  </si>
  <si>
    <t>Winner Group D</t>
  </si>
  <si>
    <t>Runner-up Group C</t>
  </si>
  <si>
    <t>R16-M8</t>
  </si>
  <si>
    <t>Winner Group H</t>
  </si>
  <si>
    <t>Runner-up Group G</t>
  </si>
  <si>
    <t>R16-M7</t>
  </si>
  <si>
    <t>Winner Group F</t>
  </si>
  <si>
    <t>Runner-up Group E</t>
  </si>
  <si>
    <t>QUARTER-FINALS  (23, 25 Oct 2026 — no match 24 Oct, ground engaged for BUSF)</t>
  </si>
  <si>
    <t>Quarter-Final</t>
  </si>
  <si>
    <t>-</t>
  </si>
  <si>
    <t>Winner R16-M1</t>
  </si>
  <si>
    <t>Winner R16-M2</t>
  </si>
  <si>
    <t>Winner R16-M3</t>
  </si>
  <si>
    <t>Winner R16-M4</t>
  </si>
  <si>
    <t>Winner R16-M5</t>
  </si>
  <si>
    <t>Winner R16-M6</t>
  </si>
  <si>
    <t>Winner R16-M7</t>
  </si>
  <si>
    <t>Winner R16-M8</t>
  </si>
  <si>
    <t>SEMI-FINALS  (27 - 28 Oct 2026)</t>
  </si>
  <si>
    <t>Semi-Final</t>
  </si>
  <si>
    <t>Winner QF1</t>
  </si>
  <si>
    <t>Winner QF2</t>
  </si>
  <si>
    <t>Winner QF3</t>
  </si>
  <si>
    <t>Winner QF4</t>
  </si>
  <si>
    <t>3rd Place Match</t>
  </si>
  <si>
    <t>Loser SF1</t>
  </si>
  <si>
    <t>Loser SF2</t>
  </si>
  <si>
    <t>TBD</t>
  </si>
  <si>
    <t>Winner SF1</t>
  </si>
  <si>
    <t>Winner SF2</t>
  </si>
  <si>
    <t>Final, followed by prize distribution &amp; closing ceremony</t>
  </si>
  <si>
    <t>GROUP-STAGE SCHEDULE BY TEAM (rest-day check)</t>
  </si>
  <si>
    <t>Match numbers refer to the "Match No." column on the Match Schedule sheet. Min. Rest Days = fewest clear days between two consecutive matches of the team.</t>
  </si>
  <si>
    <t>Team</t>
  </si>
  <si>
    <t>Team Name</t>
  </si>
  <si>
    <t>Match 1</t>
  </si>
  <si>
    <t>Match 2</t>
  </si>
  <si>
    <t>Match 3</t>
  </si>
  <si>
    <t>Match 4</t>
  </si>
  <si>
    <t>Min. Rest Days</t>
  </si>
  <si>
    <t>GROUP DRAW - GROUP A TO GROUP H</t>
  </si>
  <si>
    <t>GROUP A</t>
  </si>
  <si>
    <t>Slot</t>
  </si>
  <si>
    <t>Team Code</t>
  </si>
  <si>
    <t xml:space="preserve">Team Name </t>
  </si>
  <si>
    <t>Status</t>
  </si>
  <si>
    <t>BBPL (Bhutan Brewary Private Limited)</t>
  </si>
  <si>
    <t>Registered</t>
  </si>
  <si>
    <t>Pling Taxi</t>
  </si>
  <si>
    <t>Thromde Sherig</t>
  </si>
  <si>
    <t>Immigration</t>
  </si>
  <si>
    <t>BFAL</t>
  </si>
  <si>
    <t>GROUP B</t>
  </si>
  <si>
    <t>BPC</t>
  </si>
  <si>
    <t>Zimdra FC</t>
  </si>
  <si>
    <t>ICP, Phuentsholing</t>
  </si>
  <si>
    <t>CST Kangtsey</t>
  </si>
  <si>
    <t>GROUP C</t>
  </si>
  <si>
    <t>BCCL</t>
  </si>
  <si>
    <t>GCBS</t>
  </si>
  <si>
    <t>Pling Hospital</t>
  </si>
  <si>
    <t>STCBL</t>
  </si>
  <si>
    <t>GROUP D</t>
  </si>
  <si>
    <t>FI FC</t>
  </si>
  <si>
    <t>570 MW</t>
  </si>
  <si>
    <t>TCC</t>
  </si>
  <si>
    <t>Druk Larjung</t>
  </si>
  <si>
    <t>GROUP E</t>
  </si>
  <si>
    <t>MDP FC</t>
  </si>
  <si>
    <t>CST United</t>
  </si>
  <si>
    <t>Pelden Warriors</t>
  </si>
  <si>
    <t>FCB</t>
  </si>
  <si>
    <t>GROUP F</t>
  </si>
  <si>
    <t>BSMPL</t>
  </si>
  <si>
    <t>OG United</t>
  </si>
  <si>
    <t>DFAL</t>
  </si>
  <si>
    <t>DGPC United</t>
  </si>
  <si>
    <t>GROUP G</t>
  </si>
  <si>
    <t>RICBL</t>
  </si>
  <si>
    <t>BOBL</t>
  </si>
  <si>
    <t>Coca Cola</t>
  </si>
  <si>
    <t>BEA</t>
  </si>
  <si>
    <t>GROUP H</t>
  </si>
  <si>
    <t>Bhutan Board Product Limited (BBPL)</t>
  </si>
  <si>
    <t>Tashi Metals</t>
  </si>
  <si>
    <t>Bhutan Lottery</t>
  </si>
  <si>
    <t>PTDP</t>
  </si>
  <si>
    <t>GROUP STAGE FIXTURES (ROUND-ROBIN, LEAGUE FORMAT)</t>
  </si>
  <si>
    <t>Enter final scores in the "Score 1" / "Score 2" columns (yellow) once played. Single venue - matches are played one at a time in Match Day / Match No. order, no home or away side.</t>
  </si>
  <si>
    <t>Match Day</t>
  </si>
  <si>
    <t>Score 1</t>
  </si>
  <si>
    <t>Score 2</t>
  </si>
  <si>
    <t>Result</t>
  </si>
  <si>
    <t>GROUP STANDINGS (AUTO-CALCULATED FROM FIXTURE RESULTS)</t>
  </si>
  <si>
    <t>Updates automatically once scores are entered on the "Group Fixtures" sheet. Points: Win=3, Draw=1, Loss=0.</t>
  </si>
  <si>
    <t>P</t>
  </si>
  <si>
    <t>W</t>
  </si>
  <si>
    <t>L</t>
  </si>
  <si>
    <t>GF</t>
  </si>
  <si>
    <t>GA</t>
  </si>
  <si>
    <t>GD</t>
  </si>
  <si>
    <t>Pts</t>
  </si>
  <si>
    <t>Rank</t>
  </si>
  <si>
    <t>QUALIFIERS TO ROUND OF 16 (TOP 2 PER GROUP)</t>
  </si>
  <si>
    <t>Auto-pulled from Standings once ranks resolve. In case of a points/rank tie, adjust the Rank column on the Standings sheet manually.</t>
  </si>
  <si>
    <t>Group Winner (Rank 1)</t>
  </si>
  <si>
    <t>Runner-up (Rank 2)</t>
  </si>
  <si>
    <t>ROUND OF 16 (TOP 16 - 2 QUALIFIERS FROM EACH OF 8 GROUPS)</t>
  </si>
  <si>
    <t>Winner (advances)</t>
  </si>
  <si>
    <t>QUARTER-FINALS (TOP 8)</t>
  </si>
  <si>
    <t>SEMI-FINALS (TOP 4)</t>
  </si>
  <si>
    <t>Loser (plays 3rd Place Match)</t>
  </si>
  <si>
    <t>FINAL</t>
  </si>
  <si>
    <t xml:space="preserve">Group A final matchday </t>
  </si>
  <si>
    <t>FINAL  (30 Oct - 3rd Place Match, 31 Oct 2026 - Final)</t>
  </si>
  <si>
    <t xml:space="preserve">Group G final matchday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</si>
</sst>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d\ dd\-mmm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11"/>
      <color rgb="FF595959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1"/>
      <color rgb="FFFFFFFF"/>
      <name val="Arial"/>
      <family val="2"/>
      <charset val="1"/>
    </font>
    <font>
      <sz val="12"/>
      <color rgb="FF595959"/>
      <name val="Arial"/>
      <family val="2"/>
      <charset val="1"/>
    </font>
    <font>
      <b/>
      <sz val="16"/>
      <name val="Arial"/>
      <family val="2"/>
      <charset val="1"/>
    </font>
    <font>
      <b/>
      <sz val="16"/>
      <color rgb="FFFFFFFF"/>
      <name val="Arial"/>
      <family val="2"/>
      <charset val="1"/>
    </font>
    <font>
      <sz val="16"/>
      <name val="Arial"/>
      <family val="2"/>
      <charset val="1"/>
    </font>
    <font>
      <b/>
      <i/>
      <sz val="16"/>
      <color rgb="FF595959"/>
      <name val="Arial"/>
      <family val="2"/>
      <charset val="1"/>
    </font>
    <font>
      <sz val="10"/>
      <name val="Arial"/>
      <family val="2"/>
      <charset val="1"/>
    </font>
    <font>
      <sz val="10"/>
      <color rgb="FFC00000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  <charset val="1"/>
    </font>
    <font>
      <sz val="12"/>
      <color theme="1"/>
      <name val="Calibri"/>
      <family val="2"/>
      <charset val="1"/>
    </font>
    <font>
      <b/>
      <sz val="12"/>
      <color rgb="FFFFFFFF"/>
      <name val="Arial"/>
      <family val="2"/>
      <charset val="1"/>
    </font>
    <font>
      <i/>
      <sz val="10"/>
      <color rgb="FFC00000"/>
      <name val="Arial"/>
      <family val="2"/>
      <charset val="1"/>
    </font>
    <font>
      <sz val="8"/>
      <color rgb="FFFFFFFF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7F9F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5" fillId="4" borderId="0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/>
    <xf numFmtId="0" fontId="4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0" xfId="0" applyFont="1" applyAlignment="1"/>
    <xf numFmtId="0" fontId="3" fillId="3" borderId="1" xfId="0" applyFont="1" applyFill="1" applyBorder="1" applyAlignment="1"/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3" borderId="0" xfId="0" applyFont="1" applyFill="1" applyAlignment="1"/>
    <xf numFmtId="0" fontId="0" fillId="0" borderId="0" xfId="0" applyAlignment="1">
      <alignment wrapText="1"/>
    </xf>
    <xf numFmtId="0" fontId="7" fillId="5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164" fontId="9" fillId="6" borderId="3" xfId="0" applyNumberFormat="1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center" vertical="center" wrapText="1"/>
    </xf>
    <xf numFmtId="164" fontId="9" fillId="7" borderId="3" xfId="0" applyNumberFormat="1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164" fontId="9" fillId="8" borderId="3" xfId="0" applyNumberFormat="1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center" vertical="center" wrapText="1"/>
    </xf>
    <xf numFmtId="164" fontId="10" fillId="3" borderId="3" xfId="0" applyNumberFormat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center" vertical="center" wrapText="1"/>
    </xf>
    <xf numFmtId="165" fontId="4" fillId="9" borderId="3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wrapText="1"/>
    </xf>
    <xf numFmtId="0" fontId="14" fillId="5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/>
    <xf numFmtId="0" fontId="0" fillId="7" borderId="1" xfId="0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18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wrapText="1"/>
    </xf>
    <xf numFmtId="0" fontId="16" fillId="4" borderId="0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B7B7B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showGridLines="0" view="pageBreakPreview" zoomScaleNormal="188" workbookViewId="0">
      <selection activeCell="B32" sqref="B32"/>
    </sheetView>
  </sheetViews>
  <sheetFormatPr baseColWidth="10" defaultColWidth="8.6640625" defaultRowHeight="15" x14ac:dyDescent="0.2"/>
  <cols>
    <col min="1" max="1" width="26" style="15" customWidth="1"/>
    <col min="2" max="2" width="34" style="15" customWidth="1"/>
    <col min="3" max="3" width="20" style="15" customWidth="1"/>
    <col min="4" max="4" width="18.1640625" style="15" customWidth="1"/>
    <col min="5" max="5" width="22" style="15" customWidth="1"/>
    <col min="6" max="6" width="14" style="15" customWidth="1"/>
  </cols>
  <sheetData>
    <row r="1" spans="1:6" ht="25.5" customHeight="1" x14ac:dyDescent="0.2">
      <c r="A1" s="14" t="s">
        <v>0</v>
      </c>
      <c r="B1" s="14"/>
      <c r="C1" s="14"/>
      <c r="D1" s="14"/>
      <c r="E1" s="14"/>
      <c r="F1" s="14"/>
    </row>
    <row r="2" spans="1:6" ht="15" customHeight="1" x14ac:dyDescent="0.2">
      <c r="A2" s="13" t="s">
        <v>1</v>
      </c>
      <c r="B2" s="13"/>
      <c r="C2" s="13"/>
      <c r="D2" s="13"/>
      <c r="E2" s="13"/>
      <c r="F2" s="13"/>
    </row>
    <row r="4" spans="1:6" ht="15" customHeight="1" x14ac:dyDescent="0.2">
      <c r="A4" s="16" t="s">
        <v>2</v>
      </c>
    </row>
    <row r="5" spans="1:6" ht="15" customHeight="1" x14ac:dyDescent="0.2">
      <c r="A5" s="17" t="s">
        <v>3</v>
      </c>
      <c r="B5" s="12">
        <v>33</v>
      </c>
      <c r="C5" s="12"/>
      <c r="D5" s="12"/>
      <c r="E5" s="12"/>
      <c r="F5" s="12"/>
    </row>
    <row r="6" spans="1:6" ht="15" customHeight="1" x14ac:dyDescent="0.2">
      <c r="A6" s="17" t="s">
        <v>4</v>
      </c>
      <c r="B6" s="12" t="s">
        <v>5</v>
      </c>
      <c r="C6" s="12"/>
      <c r="D6" s="12"/>
      <c r="E6" s="12"/>
      <c r="F6" s="12"/>
    </row>
    <row r="7" spans="1:6" ht="15" customHeight="1" x14ac:dyDescent="0.2">
      <c r="A7" s="17" t="s">
        <v>6</v>
      </c>
      <c r="B7" s="12" t="s">
        <v>7</v>
      </c>
      <c r="C7" s="12"/>
      <c r="D7" s="12"/>
      <c r="E7" s="12"/>
      <c r="F7" s="12"/>
    </row>
    <row r="8" spans="1:6" ht="15" customHeight="1" x14ac:dyDescent="0.2">
      <c r="A8" s="17" t="s">
        <v>8</v>
      </c>
      <c r="B8" s="12" t="s">
        <v>9</v>
      </c>
      <c r="C8" s="12"/>
      <c r="D8" s="12"/>
      <c r="E8" s="12"/>
      <c r="F8" s="12"/>
    </row>
    <row r="9" spans="1:6" ht="15" customHeight="1" x14ac:dyDescent="0.2">
      <c r="A9" s="17" t="s">
        <v>10</v>
      </c>
      <c r="B9" s="12" t="s">
        <v>11</v>
      </c>
      <c r="C9" s="12"/>
      <c r="D9" s="12"/>
      <c r="E9" s="12"/>
      <c r="F9" s="12"/>
    </row>
    <row r="10" spans="1:6" ht="15" customHeight="1" x14ac:dyDescent="0.2">
      <c r="A10" s="17" t="s">
        <v>12</v>
      </c>
      <c r="B10" s="12">
        <v>52</v>
      </c>
      <c r="C10" s="12"/>
      <c r="D10" s="12"/>
      <c r="E10" s="12"/>
      <c r="F10" s="12"/>
    </row>
    <row r="11" spans="1:6" ht="15" customHeight="1" x14ac:dyDescent="0.2">
      <c r="A11" s="17" t="s">
        <v>13</v>
      </c>
      <c r="B11" s="12" t="s">
        <v>14</v>
      </c>
      <c r="C11" s="12"/>
      <c r="D11" s="12"/>
      <c r="E11" s="12"/>
      <c r="F11" s="12"/>
    </row>
    <row r="12" spans="1:6" ht="15" customHeight="1" x14ac:dyDescent="0.2">
      <c r="A12" s="17" t="s">
        <v>15</v>
      </c>
      <c r="B12" s="12">
        <v>16</v>
      </c>
      <c r="C12" s="12"/>
      <c r="D12" s="12"/>
      <c r="E12" s="12"/>
      <c r="F12" s="12"/>
    </row>
    <row r="13" spans="1:6" ht="15" customHeight="1" x14ac:dyDescent="0.2">
      <c r="A13" s="17" t="s">
        <v>16</v>
      </c>
      <c r="B13" s="12" t="s">
        <v>17</v>
      </c>
      <c r="C13" s="12"/>
      <c r="D13" s="12"/>
      <c r="E13" s="12"/>
      <c r="F13" s="12"/>
    </row>
    <row r="14" spans="1:6" ht="15" customHeight="1" x14ac:dyDescent="0.2">
      <c r="A14" s="17" t="s">
        <v>18</v>
      </c>
      <c r="B14" s="12">
        <v>16</v>
      </c>
      <c r="C14" s="12"/>
      <c r="D14" s="12"/>
      <c r="E14" s="12"/>
      <c r="F14" s="12"/>
    </row>
    <row r="16" spans="1:6" ht="15" customHeight="1" x14ac:dyDescent="0.2">
      <c r="A16" s="16" t="s">
        <v>19</v>
      </c>
    </row>
    <row r="17" spans="1:6" ht="15" customHeight="1" x14ac:dyDescent="0.2">
      <c r="A17" s="18" t="s">
        <v>20</v>
      </c>
      <c r="B17" s="18" t="s">
        <v>21</v>
      </c>
      <c r="C17" s="18" t="s">
        <v>22</v>
      </c>
      <c r="D17" s="18" t="s">
        <v>8</v>
      </c>
      <c r="E17" s="18" t="s">
        <v>23</v>
      </c>
      <c r="F17" s="18" t="s">
        <v>24</v>
      </c>
    </row>
    <row r="18" spans="1:6" ht="15" customHeight="1" x14ac:dyDescent="0.2">
      <c r="A18" s="19" t="s">
        <v>25</v>
      </c>
      <c r="B18" s="19">
        <v>5</v>
      </c>
      <c r="C18" s="20" t="s">
        <v>26</v>
      </c>
      <c r="D18" s="11" t="s">
        <v>27</v>
      </c>
      <c r="E18" s="19">
        <v>10</v>
      </c>
      <c r="F18" s="19">
        <v>5</v>
      </c>
    </row>
    <row r="19" spans="1:6" ht="15" customHeight="1" x14ac:dyDescent="0.2">
      <c r="A19" s="21" t="s">
        <v>28</v>
      </c>
      <c r="B19" s="21">
        <v>4</v>
      </c>
      <c r="C19" s="22" t="s">
        <v>29</v>
      </c>
      <c r="D19" s="11"/>
      <c r="E19" s="21">
        <v>6</v>
      </c>
      <c r="F19" s="21">
        <v>3</v>
      </c>
    </row>
    <row r="20" spans="1:6" ht="15" customHeight="1" x14ac:dyDescent="0.2">
      <c r="A20" s="19" t="s">
        <v>30</v>
      </c>
      <c r="B20" s="19">
        <v>4</v>
      </c>
      <c r="C20" s="20" t="s">
        <v>31</v>
      </c>
      <c r="D20" s="11"/>
      <c r="E20" s="19">
        <v>6</v>
      </c>
      <c r="F20" s="19">
        <v>3</v>
      </c>
    </row>
    <row r="21" spans="1:6" ht="15" customHeight="1" x14ac:dyDescent="0.2">
      <c r="A21" s="21" t="s">
        <v>32</v>
      </c>
      <c r="B21" s="21">
        <v>4</v>
      </c>
      <c r="C21" s="22" t="s">
        <v>33</v>
      </c>
      <c r="D21" s="11"/>
      <c r="E21" s="21">
        <v>6</v>
      </c>
      <c r="F21" s="21">
        <v>3</v>
      </c>
    </row>
    <row r="22" spans="1:6" ht="15" customHeight="1" x14ac:dyDescent="0.2">
      <c r="A22" s="19" t="s">
        <v>34</v>
      </c>
      <c r="B22" s="19">
        <v>4</v>
      </c>
      <c r="C22" s="20" t="s">
        <v>35</v>
      </c>
      <c r="D22" s="11"/>
      <c r="E22" s="19">
        <v>6</v>
      </c>
      <c r="F22" s="19">
        <v>3</v>
      </c>
    </row>
    <row r="23" spans="1:6" ht="15" customHeight="1" x14ac:dyDescent="0.2">
      <c r="A23" s="21" t="s">
        <v>36</v>
      </c>
      <c r="B23" s="21">
        <v>4</v>
      </c>
      <c r="C23" s="22" t="s">
        <v>37</v>
      </c>
      <c r="D23" s="11"/>
      <c r="E23" s="21">
        <v>6</v>
      </c>
      <c r="F23" s="21">
        <v>3</v>
      </c>
    </row>
    <row r="24" spans="1:6" ht="15" customHeight="1" x14ac:dyDescent="0.2">
      <c r="A24" s="19" t="s">
        <v>38</v>
      </c>
      <c r="B24" s="19">
        <v>4</v>
      </c>
      <c r="C24" s="20" t="s">
        <v>39</v>
      </c>
      <c r="D24" s="11"/>
      <c r="E24" s="19">
        <v>6</v>
      </c>
      <c r="F24" s="19">
        <v>3</v>
      </c>
    </row>
    <row r="25" spans="1:6" ht="15" customHeight="1" x14ac:dyDescent="0.2">
      <c r="A25" s="21" t="s">
        <v>40</v>
      </c>
      <c r="B25" s="21">
        <v>4</v>
      </c>
      <c r="C25" s="22" t="s">
        <v>41</v>
      </c>
      <c r="D25" s="11"/>
      <c r="E25" s="21">
        <v>6</v>
      </c>
      <c r="F25" s="21">
        <v>3</v>
      </c>
    </row>
    <row r="27" spans="1:6" ht="15" customHeight="1" x14ac:dyDescent="0.2">
      <c r="A27" s="16" t="s">
        <v>42</v>
      </c>
    </row>
    <row r="28" spans="1:6" ht="15" customHeight="1" x14ac:dyDescent="0.2">
      <c r="A28" s="23" t="s">
        <v>43</v>
      </c>
      <c r="B28" s="10" t="s">
        <v>44</v>
      </c>
      <c r="C28" s="10"/>
      <c r="D28" s="10"/>
      <c r="E28" s="10"/>
      <c r="F28" s="10"/>
    </row>
    <row r="29" spans="1:6" ht="15" customHeight="1" x14ac:dyDescent="0.2">
      <c r="A29" s="23" t="s">
        <v>45</v>
      </c>
      <c r="B29" s="10" t="s">
        <v>46</v>
      </c>
      <c r="C29" s="10"/>
      <c r="D29" s="10"/>
      <c r="E29" s="10"/>
      <c r="F29" s="10"/>
    </row>
    <row r="30" spans="1:6" ht="15" customHeight="1" x14ac:dyDescent="0.2">
      <c r="A30" s="23" t="s">
        <v>47</v>
      </c>
      <c r="B30" s="10" t="s">
        <v>48</v>
      </c>
      <c r="C30" s="10"/>
      <c r="D30" s="10"/>
      <c r="E30" s="10"/>
      <c r="F30" s="10"/>
    </row>
    <row r="31" spans="1:6" ht="15" customHeight="1" x14ac:dyDescent="0.2">
      <c r="A31" s="23" t="s">
        <v>49</v>
      </c>
      <c r="B31" s="10" t="s">
        <v>50</v>
      </c>
      <c r="C31" s="10"/>
      <c r="D31" s="10"/>
      <c r="E31" s="10"/>
      <c r="F31" s="10"/>
    </row>
    <row r="32" spans="1:6" ht="15" customHeight="1" x14ac:dyDescent="0.2">
      <c r="A32" s="23" t="s">
        <v>51</v>
      </c>
      <c r="B32" s="10" t="s">
        <v>52</v>
      </c>
      <c r="C32" s="10"/>
      <c r="D32" s="10"/>
      <c r="E32" s="10"/>
      <c r="F32" s="10"/>
    </row>
    <row r="33" spans="1:6" ht="15" customHeight="1" x14ac:dyDescent="0.2">
      <c r="A33" s="23" t="s">
        <v>53</v>
      </c>
      <c r="B33" s="10" t="s">
        <v>54</v>
      </c>
      <c r="C33" s="10"/>
      <c r="D33" s="10"/>
      <c r="E33" s="10"/>
      <c r="F33" s="10"/>
    </row>
    <row r="34" spans="1:6" ht="15" customHeight="1" x14ac:dyDescent="0.2">
      <c r="A34" s="23" t="s">
        <v>55</v>
      </c>
      <c r="B34" s="10" t="s">
        <v>56</v>
      </c>
      <c r="C34" s="10"/>
      <c r="D34" s="10"/>
      <c r="E34" s="10"/>
      <c r="F34" s="10"/>
    </row>
    <row r="35" spans="1:6" ht="15" customHeight="1" x14ac:dyDescent="0.2">
      <c r="A35" s="23" t="s">
        <v>57</v>
      </c>
      <c r="B35" s="10" t="s">
        <v>58</v>
      </c>
      <c r="C35" s="10"/>
      <c r="D35" s="10"/>
      <c r="E35" s="10"/>
      <c r="F35" s="10"/>
    </row>
    <row r="36" spans="1:6" ht="15" customHeight="1" x14ac:dyDescent="0.2">
      <c r="A36" s="23" t="s">
        <v>59</v>
      </c>
      <c r="B36" s="10" t="s">
        <v>60</v>
      </c>
      <c r="C36" s="10"/>
      <c r="D36" s="10"/>
      <c r="E36" s="10"/>
      <c r="F36" s="10"/>
    </row>
  </sheetData>
  <mergeCells count="22">
    <mergeCell ref="B35:F35"/>
    <mergeCell ref="B36:F36"/>
    <mergeCell ref="B30:F30"/>
    <mergeCell ref="B31:F31"/>
    <mergeCell ref="B32:F32"/>
    <mergeCell ref="B33:F33"/>
    <mergeCell ref="B34:F34"/>
    <mergeCell ref="B13:F13"/>
    <mergeCell ref="B14:F14"/>
    <mergeCell ref="D18:D25"/>
    <mergeCell ref="B28:F28"/>
    <mergeCell ref="B29:F29"/>
    <mergeCell ref="B8:F8"/>
    <mergeCell ref="B9:F9"/>
    <mergeCell ref="B10:F10"/>
    <mergeCell ref="B11:F11"/>
    <mergeCell ref="B12:F12"/>
    <mergeCell ref="A1:F1"/>
    <mergeCell ref="A2:F2"/>
    <mergeCell ref="B5:F5"/>
    <mergeCell ref="B6:F6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90"/>
  <sheetViews>
    <sheetView tabSelected="1" view="pageBreakPreview" zoomScale="64" zoomScaleNormal="100" workbookViewId="0">
      <pane ySplit="5" topLeftCell="A6" activePane="bottomLeft" state="frozen"/>
      <selection pane="bottomLeft" activeCell="K45" sqref="K45"/>
    </sheetView>
  </sheetViews>
  <sheetFormatPr baseColWidth="10" defaultColWidth="8.6640625" defaultRowHeight="15" x14ac:dyDescent="0.2"/>
  <cols>
    <col min="1" max="1" width="14.1640625" style="24" customWidth="1"/>
    <col min="2" max="2" width="21.1640625" style="24" customWidth="1"/>
    <col min="3" max="3" width="15.6640625" style="24" customWidth="1"/>
    <col min="4" max="4" width="28.83203125" style="24" customWidth="1"/>
    <col min="5" max="5" width="16.6640625" style="24" customWidth="1"/>
    <col min="6" max="6" width="11" style="24" customWidth="1"/>
    <col min="7" max="7" width="20.83203125" style="24" customWidth="1"/>
    <col min="8" max="8" width="25.1640625" style="24" customWidth="1"/>
    <col min="9" max="9" width="38.83203125" style="24" customWidth="1"/>
    <col min="10" max="10" width="31.5" style="24" customWidth="1"/>
    <col min="11" max="11" width="36.1640625" style="24" customWidth="1"/>
    <col min="12" max="16384" width="8.6640625" style="24"/>
  </cols>
  <sheetData>
    <row r="1" spans="1:11" ht="33" customHeight="1" x14ac:dyDescent="0.2">
      <c r="A1" s="9" t="s">
        <v>61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3" customHeight="1" x14ac:dyDescent="0.2">
      <c r="A2" s="8" t="s">
        <v>62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33" customHeight="1" x14ac:dyDescent="0.2">
      <c r="A3" s="7" t="s">
        <v>63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1" ht="33" customHeight="1" x14ac:dyDescent="0.2">
      <c r="A5" s="25" t="s">
        <v>64</v>
      </c>
      <c r="B5" s="25" t="s">
        <v>65</v>
      </c>
      <c r="C5" s="25" t="s">
        <v>66</v>
      </c>
      <c r="D5" s="25" t="s">
        <v>67</v>
      </c>
      <c r="E5" s="25" t="s">
        <v>68</v>
      </c>
      <c r="F5" s="25" t="s">
        <v>20</v>
      </c>
      <c r="G5" s="25" t="s">
        <v>69</v>
      </c>
      <c r="H5" s="25" t="s">
        <v>70</v>
      </c>
      <c r="I5" s="25" t="s">
        <v>71</v>
      </c>
      <c r="J5" s="25" t="s">
        <v>72</v>
      </c>
      <c r="K5" s="25" t="s">
        <v>73</v>
      </c>
    </row>
    <row r="6" spans="1:11" ht="33" customHeight="1" x14ac:dyDescent="0.2">
      <c r="A6" s="6" t="s">
        <v>74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42.75" customHeight="1" x14ac:dyDescent="0.2">
      <c r="A7" s="26">
        <v>1</v>
      </c>
      <c r="B7" s="27">
        <v>46291</v>
      </c>
      <c r="C7" s="26" t="str">
        <f t="shared" ref="C7:C38" si="0">TEXT(B7,"dddd")</f>
        <v>Saturday</v>
      </c>
      <c r="D7" s="26" t="s">
        <v>75</v>
      </c>
      <c r="E7" s="5" t="s">
        <v>49</v>
      </c>
      <c r="F7" s="26" t="s">
        <v>76</v>
      </c>
      <c r="G7" s="26" t="s">
        <v>77</v>
      </c>
      <c r="H7" s="26" t="s">
        <v>78</v>
      </c>
      <c r="I7" s="28" t="str">
        <f>IFERROR(INDEX('Groups A-H'!$C$5:$C$58,MATCH(G7,'Groups A-H'!$B$5:$B$58,0)),"")</f>
        <v>Thromde Sherig</v>
      </c>
      <c r="J7" s="28" t="str">
        <f>IFERROR(INDEX('Groups A-H'!$C$5:$C$58,MATCH(H7,'Groups A-H'!$B$5:$B$58,0)),"")</f>
        <v>Immigration</v>
      </c>
      <c r="K7" s="28" t="s">
        <v>79</v>
      </c>
    </row>
    <row r="8" spans="1:11" ht="33" customHeight="1" x14ac:dyDescent="0.2">
      <c r="A8" s="29">
        <v>2</v>
      </c>
      <c r="B8" s="30">
        <v>46292</v>
      </c>
      <c r="C8" s="29" t="str">
        <f t="shared" si="0"/>
        <v>Sunday</v>
      </c>
      <c r="D8" s="29" t="s">
        <v>80</v>
      </c>
      <c r="E8" s="5"/>
      <c r="F8" s="29" t="s">
        <v>81</v>
      </c>
      <c r="G8" s="29" t="s">
        <v>82</v>
      </c>
      <c r="H8" s="29" t="s">
        <v>83</v>
      </c>
      <c r="I8" s="31" t="str">
        <f>IFERROR(INDEX('Groups A-H'!$C$5:$C$58,MATCH(G8,'Groups A-H'!$B$5:$B$58,0)),"")</f>
        <v>FI FC</v>
      </c>
      <c r="J8" s="31" t="str">
        <f>IFERROR(INDEX('Groups A-H'!$C$5:$C$58,MATCH(H8,'Groups A-H'!$B$5:$B$58,0)),"")</f>
        <v>Druk Larjung</v>
      </c>
      <c r="K8" s="31"/>
    </row>
    <row r="9" spans="1:11" ht="66" customHeight="1" x14ac:dyDescent="0.2">
      <c r="A9" s="29">
        <v>3</v>
      </c>
      <c r="B9" s="30">
        <v>46292</v>
      </c>
      <c r="C9" s="29" t="str">
        <f t="shared" si="0"/>
        <v>Sunday</v>
      </c>
      <c r="D9" s="29" t="s">
        <v>84</v>
      </c>
      <c r="E9" s="5"/>
      <c r="F9" s="29" t="s">
        <v>85</v>
      </c>
      <c r="G9" s="29" t="s">
        <v>86</v>
      </c>
      <c r="H9" s="29" t="s">
        <v>87</v>
      </c>
      <c r="I9" s="31" t="str">
        <f>IFERROR(INDEX('Groups A-H'!$C$5:$C$58,MATCH(G9,'Groups A-H'!$B$5:$B$58,0)),"")</f>
        <v>Bhutan Board Product Limited (BBPL)</v>
      </c>
      <c r="J9" s="31" t="str">
        <f>IFERROR(INDEX('Groups A-H'!$C$5:$C$58,MATCH(H9,'Groups A-H'!$B$5:$B$58,0)),"")</f>
        <v>PTDP</v>
      </c>
      <c r="K9" s="31"/>
    </row>
    <row r="10" spans="1:11" ht="49.5" customHeight="1" x14ac:dyDescent="0.2">
      <c r="A10" s="29">
        <v>4</v>
      </c>
      <c r="B10" s="30">
        <v>46292</v>
      </c>
      <c r="C10" s="29" t="str">
        <f t="shared" si="0"/>
        <v>Sunday</v>
      </c>
      <c r="D10" s="29" t="s">
        <v>88</v>
      </c>
      <c r="E10" s="5"/>
      <c r="F10" s="29" t="s">
        <v>89</v>
      </c>
      <c r="G10" s="29" t="s">
        <v>90</v>
      </c>
      <c r="H10" s="29" t="s">
        <v>91</v>
      </c>
      <c r="I10" s="31" t="str">
        <f>IFERROR(INDEX('Groups A-H'!$C$5:$C$58,MATCH(G10,'Groups A-H'!$B$5:$B$58,0)),"")</f>
        <v>Zimdra FC</v>
      </c>
      <c r="J10" s="31" t="str">
        <f>IFERROR(INDEX('Groups A-H'!$C$5:$C$58,MATCH(H10,'Groups A-H'!$B$5:$B$58,0)),"")</f>
        <v>ICP, Phuentsholing</v>
      </c>
      <c r="K10" s="31"/>
    </row>
    <row r="11" spans="1:11" ht="33" customHeight="1" x14ac:dyDescent="0.2">
      <c r="A11" s="32">
        <v>5</v>
      </c>
      <c r="B11" s="33">
        <v>46293</v>
      </c>
      <c r="C11" s="32" t="str">
        <f t="shared" si="0"/>
        <v>Monday</v>
      </c>
      <c r="D11" s="32" t="s">
        <v>84</v>
      </c>
      <c r="E11" s="5"/>
      <c r="F11" s="32" t="s">
        <v>92</v>
      </c>
      <c r="G11" s="32" t="s">
        <v>93</v>
      </c>
      <c r="H11" s="32" t="s">
        <v>94</v>
      </c>
      <c r="I11" s="34" t="str">
        <f>IFERROR(INDEX('Groups A-H'!$C$5:$C$58,MATCH(G11,'Groups A-H'!$B$5:$B$58,0)),"")</f>
        <v>BSMPL</v>
      </c>
      <c r="J11" s="34" t="str">
        <f>IFERROR(INDEX('Groups A-H'!$C$5:$C$58,MATCH(H11,'Groups A-H'!$B$5:$B$58,0)),"")</f>
        <v>DGPC United</v>
      </c>
      <c r="K11" s="34"/>
    </row>
    <row r="12" spans="1:11" ht="33" customHeight="1" x14ac:dyDescent="0.2">
      <c r="A12" s="32">
        <v>6</v>
      </c>
      <c r="B12" s="33">
        <v>46293</v>
      </c>
      <c r="C12" s="32" t="str">
        <f t="shared" si="0"/>
        <v>Monday</v>
      </c>
      <c r="D12" s="32" t="s">
        <v>88</v>
      </c>
      <c r="E12" s="5"/>
      <c r="F12" s="32" t="s">
        <v>81</v>
      </c>
      <c r="G12" s="32" t="s">
        <v>95</v>
      </c>
      <c r="H12" s="32" t="s">
        <v>96</v>
      </c>
      <c r="I12" s="34" t="str">
        <f>IFERROR(INDEX('Groups A-H'!$C$5:$C$58,MATCH(G12,'Groups A-H'!$B$5:$B$58,0)),"")</f>
        <v>570 MW</v>
      </c>
      <c r="J12" s="34" t="str">
        <f>IFERROR(INDEX('Groups A-H'!$C$5:$C$58,MATCH(H12,'Groups A-H'!$B$5:$B$58,0)),"")</f>
        <v>TCC</v>
      </c>
      <c r="K12" s="34"/>
    </row>
    <row r="13" spans="1:11" ht="33" customHeight="1" x14ac:dyDescent="0.2">
      <c r="A13" s="32">
        <v>7</v>
      </c>
      <c r="B13" s="33">
        <v>46294</v>
      </c>
      <c r="C13" s="32" t="str">
        <f t="shared" si="0"/>
        <v>Tuesday</v>
      </c>
      <c r="D13" s="32" t="s">
        <v>84</v>
      </c>
      <c r="E13" s="5"/>
      <c r="F13" s="32" t="s">
        <v>89</v>
      </c>
      <c r="G13" s="32" t="s">
        <v>97</v>
      </c>
      <c r="H13" s="32" t="s">
        <v>98</v>
      </c>
      <c r="I13" s="34" t="str">
        <f>IFERROR(INDEX('Groups A-H'!$C$5:$C$58,MATCH(G13,'Groups A-H'!$B$5:$B$58,0)),"")</f>
        <v>BPC</v>
      </c>
      <c r="J13" s="34" t="str">
        <f>IFERROR(INDEX('Groups A-H'!$C$5:$C$58,MATCH(H13,'Groups A-H'!$B$5:$B$58,0)),"")</f>
        <v>CST Kangtsey</v>
      </c>
      <c r="K13" s="34"/>
    </row>
    <row r="14" spans="1:11" ht="33" customHeight="1" x14ac:dyDescent="0.2">
      <c r="A14" s="32">
        <v>8</v>
      </c>
      <c r="B14" s="33">
        <v>46294</v>
      </c>
      <c r="C14" s="32" t="str">
        <f t="shared" si="0"/>
        <v>Tuesday</v>
      </c>
      <c r="D14" s="32" t="s">
        <v>88</v>
      </c>
      <c r="E14" s="5"/>
      <c r="F14" s="32" t="s">
        <v>85</v>
      </c>
      <c r="G14" s="32" t="s">
        <v>99</v>
      </c>
      <c r="H14" s="32" t="s">
        <v>100</v>
      </c>
      <c r="I14" s="34" t="str">
        <f>IFERROR(INDEX('Groups A-H'!$C$5:$C$58,MATCH(G14,'Groups A-H'!$B$5:$B$58,0)),"")</f>
        <v>Tashi Metals</v>
      </c>
      <c r="J14" s="34" t="str">
        <f>IFERROR(INDEX('Groups A-H'!$C$5:$C$58,MATCH(H14,'Groups A-H'!$B$5:$B$58,0)),"")</f>
        <v>Bhutan Lottery</v>
      </c>
      <c r="K14" s="34"/>
    </row>
    <row r="15" spans="1:11" ht="33" customHeight="1" x14ac:dyDescent="0.2">
      <c r="A15" s="32">
        <v>9</v>
      </c>
      <c r="B15" s="33">
        <v>46295</v>
      </c>
      <c r="C15" s="32" t="str">
        <f t="shared" si="0"/>
        <v>Wednesday</v>
      </c>
      <c r="D15" s="32" t="s">
        <v>84</v>
      </c>
      <c r="E15" s="5"/>
      <c r="F15" s="32" t="s">
        <v>76</v>
      </c>
      <c r="G15" s="32" t="s">
        <v>101</v>
      </c>
      <c r="H15" s="32" t="s">
        <v>102</v>
      </c>
      <c r="I15" s="34" t="str">
        <f>IFERROR(INDEX('Groups A-H'!$C$5:$C$58,MATCH(G15,'Groups A-H'!$B$5:$B$58,0)),"")</f>
        <v>Pling Taxi</v>
      </c>
      <c r="J15" s="34" t="str">
        <f>IFERROR(INDEX('Groups A-H'!$C$5:$C$58,MATCH(H15,'Groups A-H'!$B$5:$B$58,0)),"")</f>
        <v>BFAL</v>
      </c>
      <c r="K15" s="34"/>
    </row>
    <row r="16" spans="1:11" ht="33" customHeight="1" x14ac:dyDescent="0.2">
      <c r="A16" s="32">
        <v>10</v>
      </c>
      <c r="B16" s="33">
        <v>46295</v>
      </c>
      <c r="C16" s="32" t="str">
        <f t="shared" si="0"/>
        <v>Wednesday</v>
      </c>
      <c r="D16" s="32" t="s">
        <v>88</v>
      </c>
      <c r="E16" s="5"/>
      <c r="F16" s="32" t="s">
        <v>92</v>
      </c>
      <c r="G16" s="32" t="s">
        <v>103</v>
      </c>
      <c r="H16" s="32" t="s">
        <v>104</v>
      </c>
      <c r="I16" s="34" t="str">
        <f>IFERROR(INDEX('Groups A-H'!$C$5:$C$58,MATCH(G16,'Groups A-H'!$B$5:$B$58,0)),"")</f>
        <v>OG United</v>
      </c>
      <c r="J16" s="34" t="str">
        <f>IFERROR(INDEX('Groups A-H'!$C$5:$C$58,MATCH(H16,'Groups A-H'!$B$5:$B$58,0)),"")</f>
        <v>DFAL</v>
      </c>
      <c r="K16" s="34"/>
    </row>
    <row r="17" spans="1:11" ht="33" customHeight="1" x14ac:dyDescent="0.2">
      <c r="A17" s="32">
        <v>11</v>
      </c>
      <c r="B17" s="33">
        <v>46296</v>
      </c>
      <c r="C17" s="32" t="str">
        <f t="shared" si="0"/>
        <v>Thursday</v>
      </c>
      <c r="D17" s="32" t="s">
        <v>84</v>
      </c>
      <c r="E17" s="5"/>
      <c r="F17" s="32" t="s">
        <v>105</v>
      </c>
      <c r="G17" s="32" t="s">
        <v>106</v>
      </c>
      <c r="H17" s="32" t="s">
        <v>107</v>
      </c>
      <c r="I17" s="34" t="str">
        <f>IFERROR(INDEX('Groups A-H'!$C$5:$C$58,MATCH(G17,'Groups A-H'!$B$5:$B$58,0)),"")</f>
        <v>BCCL</v>
      </c>
      <c r="J17" s="34" t="str">
        <f>IFERROR(INDEX('Groups A-H'!$C$5:$C$58,MATCH(H17,'Groups A-H'!$B$5:$B$58,0)),"")</f>
        <v>STCBL</v>
      </c>
      <c r="K17" s="34"/>
    </row>
    <row r="18" spans="1:11" ht="33" customHeight="1" x14ac:dyDescent="0.2">
      <c r="A18" s="32">
        <v>12</v>
      </c>
      <c r="B18" s="33">
        <v>46296</v>
      </c>
      <c r="C18" s="32" t="str">
        <f t="shared" si="0"/>
        <v>Thursday</v>
      </c>
      <c r="D18" s="32" t="s">
        <v>88</v>
      </c>
      <c r="E18" s="5"/>
      <c r="F18" s="32" t="s">
        <v>105</v>
      </c>
      <c r="G18" s="32" t="s">
        <v>108</v>
      </c>
      <c r="H18" s="32" t="s">
        <v>109</v>
      </c>
      <c r="I18" s="34" t="str">
        <f>IFERROR(INDEX('Groups A-H'!$C$5:$C$58,MATCH(G18,'Groups A-H'!$B$5:$B$58,0)),"")</f>
        <v>GCBS</v>
      </c>
      <c r="J18" s="34" t="str">
        <f>IFERROR(INDEX('Groups A-H'!$C$5:$C$58,MATCH(H18,'Groups A-H'!$B$5:$B$58,0)),"")</f>
        <v>Pling Hospital</v>
      </c>
      <c r="K18" s="34"/>
    </row>
    <row r="19" spans="1:11" ht="67.5" customHeight="1" x14ac:dyDescent="0.2">
      <c r="A19" s="32">
        <v>13</v>
      </c>
      <c r="B19" s="33">
        <v>46297</v>
      </c>
      <c r="C19" s="32" t="str">
        <f t="shared" si="0"/>
        <v>Friday</v>
      </c>
      <c r="D19" s="32" t="s">
        <v>84</v>
      </c>
      <c r="E19" s="5"/>
      <c r="F19" s="32" t="s">
        <v>76</v>
      </c>
      <c r="G19" s="32" t="s">
        <v>110</v>
      </c>
      <c r="H19" s="32" t="s">
        <v>102</v>
      </c>
      <c r="I19" s="34" t="str">
        <f>IFERROR(INDEX('Groups A-H'!$C$5:$C$58,MATCH(G19,'Groups A-H'!$B$5:$B$58,0)),"")</f>
        <v>BBPL (Bhutan Brewary Private Limited)</v>
      </c>
      <c r="J19" s="34" t="str">
        <f>IFERROR(INDEX('Groups A-H'!$C$5:$C$58,MATCH(H19,'Groups A-H'!$B$5:$B$58,0)),"")</f>
        <v>BFAL</v>
      </c>
      <c r="K19" s="34"/>
    </row>
    <row r="20" spans="1:11" ht="50" customHeight="1" x14ac:dyDescent="0.2">
      <c r="A20" s="32">
        <v>14</v>
      </c>
      <c r="B20" s="33">
        <v>46297</v>
      </c>
      <c r="C20" s="32" t="str">
        <f t="shared" si="0"/>
        <v>Friday</v>
      </c>
      <c r="D20" s="32" t="s">
        <v>88</v>
      </c>
      <c r="E20" s="5"/>
      <c r="F20" s="32" t="s">
        <v>85</v>
      </c>
      <c r="G20" s="32" t="s">
        <v>86</v>
      </c>
      <c r="H20" s="32" t="s">
        <v>100</v>
      </c>
      <c r="I20" s="34" t="str">
        <f>IFERROR(INDEX('Groups A-H'!$C$5:$C$58,MATCH(G20,'Groups A-H'!$B$5:$B$58,0)),"")</f>
        <v>Bhutan Board Product Limited (BBPL)</v>
      </c>
      <c r="J20" s="34" t="str">
        <f>IFERROR(INDEX('Groups A-H'!$C$5:$C$58,MATCH(H20,'Groups A-H'!$B$5:$B$58,0)),"")</f>
        <v>Bhutan Lottery</v>
      </c>
      <c r="K20" s="34"/>
    </row>
    <row r="21" spans="1:11" ht="33" customHeight="1" x14ac:dyDescent="0.2">
      <c r="A21" s="29">
        <v>15</v>
      </c>
      <c r="B21" s="30">
        <v>46298</v>
      </c>
      <c r="C21" s="29" t="str">
        <f t="shared" si="0"/>
        <v>Saturday</v>
      </c>
      <c r="D21" s="29" t="s">
        <v>80</v>
      </c>
      <c r="E21" s="5"/>
      <c r="F21" s="29" t="s">
        <v>89</v>
      </c>
      <c r="G21" s="29" t="s">
        <v>97</v>
      </c>
      <c r="H21" s="29" t="s">
        <v>91</v>
      </c>
      <c r="I21" s="31" t="str">
        <f>IFERROR(INDEX('Groups A-H'!$C$5:$C$58,MATCH(G21,'Groups A-H'!$B$5:$B$58,0)),"")</f>
        <v>BPC</v>
      </c>
      <c r="J21" s="31" t="str">
        <f>IFERROR(INDEX('Groups A-H'!$C$5:$C$58,MATCH(H21,'Groups A-H'!$B$5:$B$58,0)),"")</f>
        <v>ICP, Phuentsholing</v>
      </c>
      <c r="K21" s="31"/>
    </row>
    <row r="22" spans="1:11" ht="33" customHeight="1" x14ac:dyDescent="0.2">
      <c r="A22" s="29">
        <v>16</v>
      </c>
      <c r="B22" s="30">
        <v>46298</v>
      </c>
      <c r="C22" s="29" t="str">
        <f t="shared" si="0"/>
        <v>Saturday</v>
      </c>
      <c r="D22" s="29" t="s">
        <v>84</v>
      </c>
      <c r="E22" s="5"/>
      <c r="F22" s="29" t="s">
        <v>89</v>
      </c>
      <c r="G22" s="29" t="s">
        <v>98</v>
      </c>
      <c r="H22" s="29" t="s">
        <v>90</v>
      </c>
      <c r="I22" s="31" t="str">
        <f>IFERROR(INDEX('Groups A-H'!$C$5:$C$58,MATCH(G22,'Groups A-H'!$B$5:$B$58,0)),"")</f>
        <v>CST Kangtsey</v>
      </c>
      <c r="J22" s="31" t="str">
        <f>IFERROR(INDEX('Groups A-H'!$C$5:$C$58,MATCH(H22,'Groups A-H'!$B$5:$B$58,0)),"")</f>
        <v>Zimdra FC</v>
      </c>
      <c r="K22" s="31"/>
    </row>
    <row r="23" spans="1:11" ht="33" customHeight="1" x14ac:dyDescent="0.2">
      <c r="A23" s="29">
        <v>17</v>
      </c>
      <c r="B23" s="30">
        <v>46298</v>
      </c>
      <c r="C23" s="29" t="str">
        <f t="shared" si="0"/>
        <v>Saturday</v>
      </c>
      <c r="D23" s="29" t="s">
        <v>88</v>
      </c>
      <c r="E23" s="5"/>
      <c r="F23" s="29" t="s">
        <v>111</v>
      </c>
      <c r="G23" s="29" t="s">
        <v>112</v>
      </c>
      <c r="H23" s="29" t="s">
        <v>113</v>
      </c>
      <c r="I23" s="31" t="str">
        <f>IFERROR(INDEX('Groups A-H'!$C$5:$C$58,MATCH(G23,'Groups A-H'!$B$5:$B$58,0)),"")</f>
        <v>CST United</v>
      </c>
      <c r="J23" s="31" t="str">
        <f>IFERROR(INDEX('Groups A-H'!$C$5:$C$58,MATCH(H23,'Groups A-H'!$B$5:$B$58,0)),"")</f>
        <v>Pelden Warriors</v>
      </c>
      <c r="K23" s="31"/>
    </row>
    <row r="24" spans="1:11" ht="33" customHeight="1" x14ac:dyDescent="0.2">
      <c r="A24" s="29">
        <v>18</v>
      </c>
      <c r="B24" s="30">
        <v>46299</v>
      </c>
      <c r="C24" s="29" t="str">
        <f t="shared" si="0"/>
        <v>Sunday</v>
      </c>
      <c r="D24" s="29" t="s">
        <v>80</v>
      </c>
      <c r="E24" s="5"/>
      <c r="F24" s="29" t="s">
        <v>81</v>
      </c>
      <c r="G24" s="29" t="s">
        <v>82</v>
      </c>
      <c r="H24" s="29" t="s">
        <v>96</v>
      </c>
      <c r="I24" s="31" t="str">
        <f>IFERROR(INDEX('Groups A-H'!$C$5:$C$58,MATCH(G24,'Groups A-H'!$B$5:$B$58,0)),"")</f>
        <v>FI FC</v>
      </c>
      <c r="J24" s="31" t="str">
        <f>IFERROR(INDEX('Groups A-H'!$C$5:$C$58,MATCH(H24,'Groups A-H'!$B$5:$B$58,0)),"")</f>
        <v>TCC</v>
      </c>
      <c r="K24" s="31"/>
    </row>
    <row r="25" spans="1:11" ht="33" customHeight="1" x14ac:dyDescent="0.2">
      <c r="A25" s="29">
        <v>19</v>
      </c>
      <c r="B25" s="30">
        <v>46299</v>
      </c>
      <c r="C25" s="29" t="str">
        <f t="shared" si="0"/>
        <v>Sunday</v>
      </c>
      <c r="D25" s="29" t="s">
        <v>84</v>
      </c>
      <c r="E25" s="5"/>
      <c r="F25" s="29" t="s">
        <v>81</v>
      </c>
      <c r="G25" s="29" t="s">
        <v>83</v>
      </c>
      <c r="H25" s="29" t="s">
        <v>95</v>
      </c>
      <c r="I25" s="31" t="str">
        <f>IFERROR(INDEX('Groups A-H'!$C$5:$C$58,MATCH(G25,'Groups A-H'!$B$5:$B$58,0)),"")</f>
        <v>Druk Larjung</v>
      </c>
      <c r="J25" s="31" t="str">
        <f>IFERROR(INDEX('Groups A-H'!$C$5:$C$58,MATCH(H25,'Groups A-H'!$B$5:$B$58,0)),"")</f>
        <v>570 MW</v>
      </c>
      <c r="K25" s="31"/>
    </row>
    <row r="26" spans="1:11" ht="33" customHeight="1" x14ac:dyDescent="0.2">
      <c r="A26" s="29">
        <v>20</v>
      </c>
      <c r="B26" s="30">
        <v>46299</v>
      </c>
      <c r="C26" s="29" t="str">
        <f t="shared" si="0"/>
        <v>Sunday</v>
      </c>
      <c r="D26" s="29" t="s">
        <v>88</v>
      </c>
      <c r="E26" s="5"/>
      <c r="F26" s="29" t="s">
        <v>111</v>
      </c>
      <c r="G26" s="29" t="s">
        <v>114</v>
      </c>
      <c r="H26" s="29" t="s">
        <v>115</v>
      </c>
      <c r="I26" s="31" t="str">
        <f>IFERROR(INDEX('Groups A-H'!$C$5:$C$58,MATCH(G26,'Groups A-H'!$B$5:$B$58,0)),"")</f>
        <v>MDP FC</v>
      </c>
      <c r="J26" s="31" t="str">
        <f>IFERROR(INDEX('Groups A-H'!$C$5:$C$58,MATCH(H26,'Groups A-H'!$B$5:$B$58,0)),"")</f>
        <v>FCB</v>
      </c>
      <c r="K26" s="31"/>
    </row>
    <row r="27" spans="1:11" ht="33" customHeight="1" x14ac:dyDescent="0.2">
      <c r="A27" s="32">
        <v>21</v>
      </c>
      <c r="B27" s="33">
        <v>46300</v>
      </c>
      <c r="C27" s="32" t="str">
        <f t="shared" si="0"/>
        <v>Monday</v>
      </c>
      <c r="D27" s="32" t="s">
        <v>84</v>
      </c>
      <c r="E27" s="5"/>
      <c r="F27" s="32" t="s">
        <v>116</v>
      </c>
      <c r="G27" s="32" t="s">
        <v>117</v>
      </c>
      <c r="H27" s="32" t="s">
        <v>118</v>
      </c>
      <c r="I27" s="34" t="str">
        <f>IFERROR(INDEX('Groups A-H'!$C$5:$C$58,MATCH(G27,'Groups A-H'!$B$5:$B$58,0)),"")</f>
        <v>RICBL</v>
      </c>
      <c r="J27" s="34" t="str">
        <f>IFERROR(INDEX('Groups A-H'!$C$5:$C$58,MATCH(H27,'Groups A-H'!$B$5:$B$58,0)),"")</f>
        <v>BEA</v>
      </c>
      <c r="K27" s="34"/>
    </row>
    <row r="28" spans="1:11" ht="33" customHeight="1" x14ac:dyDescent="0.2">
      <c r="A28" s="32">
        <v>22</v>
      </c>
      <c r="B28" s="33">
        <v>46300</v>
      </c>
      <c r="C28" s="32" t="str">
        <f t="shared" si="0"/>
        <v>Monday</v>
      </c>
      <c r="D28" s="32" t="s">
        <v>88</v>
      </c>
      <c r="E28" s="5"/>
      <c r="F28" s="32" t="s">
        <v>116</v>
      </c>
      <c r="G28" s="32" t="s">
        <v>119</v>
      </c>
      <c r="H28" s="32" t="s">
        <v>120</v>
      </c>
      <c r="I28" s="34" t="str">
        <f>IFERROR(INDEX('Groups A-H'!$C$5:$C$58,MATCH(G28,'Groups A-H'!$B$5:$B$58,0)),"")</f>
        <v>BOBL</v>
      </c>
      <c r="J28" s="34" t="str">
        <f>IFERROR(INDEX('Groups A-H'!$C$5:$C$58,MATCH(H28,'Groups A-H'!$B$5:$B$58,0)),"")</f>
        <v>Coca Cola</v>
      </c>
      <c r="K28" s="34"/>
    </row>
    <row r="29" spans="1:11" ht="33" customHeight="1" x14ac:dyDescent="0.2">
      <c r="A29" s="32">
        <v>23</v>
      </c>
      <c r="B29" s="33">
        <v>46301</v>
      </c>
      <c r="C29" s="32" t="str">
        <f t="shared" si="0"/>
        <v>Tuesday</v>
      </c>
      <c r="D29" s="32" t="s">
        <v>84</v>
      </c>
      <c r="E29" s="5"/>
      <c r="F29" s="32" t="s">
        <v>92</v>
      </c>
      <c r="G29" s="32" t="s">
        <v>93</v>
      </c>
      <c r="H29" s="32" t="s">
        <v>104</v>
      </c>
      <c r="I29" s="34" t="str">
        <f>IFERROR(INDEX('Groups A-H'!$C$5:$C$58,MATCH(G29,'Groups A-H'!$B$5:$B$58,0)),"")</f>
        <v>BSMPL</v>
      </c>
      <c r="J29" s="34" t="str">
        <f>IFERROR(INDEX('Groups A-H'!$C$5:$C$58,MATCH(H29,'Groups A-H'!$B$5:$B$58,0)),"")</f>
        <v>DFAL</v>
      </c>
      <c r="K29" s="34"/>
    </row>
    <row r="30" spans="1:11" ht="33" customHeight="1" x14ac:dyDescent="0.2">
      <c r="A30" s="32">
        <v>24</v>
      </c>
      <c r="B30" s="33">
        <v>46301</v>
      </c>
      <c r="C30" s="32" t="str">
        <f t="shared" si="0"/>
        <v>Tuesday</v>
      </c>
      <c r="D30" s="32" t="s">
        <v>88</v>
      </c>
      <c r="E30" s="5"/>
      <c r="F30" s="32" t="s">
        <v>92</v>
      </c>
      <c r="G30" s="32" t="s">
        <v>94</v>
      </c>
      <c r="H30" s="32" t="s">
        <v>103</v>
      </c>
      <c r="I30" s="34" t="str">
        <f>IFERROR(INDEX('Groups A-H'!$C$5:$C$58,MATCH(G30,'Groups A-H'!$B$5:$B$58,0)),"")</f>
        <v>DGPC United</v>
      </c>
      <c r="J30" s="34" t="str">
        <f>IFERROR(INDEX('Groups A-H'!$C$5:$C$58,MATCH(H30,'Groups A-H'!$B$5:$B$58,0)),"")</f>
        <v>OG United</v>
      </c>
      <c r="K30" s="34"/>
    </row>
    <row r="31" spans="1:11" ht="60" customHeight="1" x14ac:dyDescent="0.2">
      <c r="A31" s="32">
        <v>25</v>
      </c>
      <c r="B31" s="33">
        <v>46302</v>
      </c>
      <c r="C31" s="32" t="str">
        <f t="shared" si="0"/>
        <v>Wednesday</v>
      </c>
      <c r="D31" s="32" t="s">
        <v>84</v>
      </c>
      <c r="E31" s="5"/>
      <c r="F31" s="32" t="s">
        <v>76</v>
      </c>
      <c r="G31" s="32" t="s">
        <v>110</v>
      </c>
      <c r="H31" s="32" t="s">
        <v>78</v>
      </c>
      <c r="I31" s="34" t="str">
        <f>IFERROR(INDEX('Groups A-H'!$C$5:$C$58,MATCH(G31,'Groups A-H'!$B$5:$B$58,0)),"")</f>
        <v>BBPL (Bhutan Brewary Private Limited)</v>
      </c>
      <c r="J31" s="34" t="str">
        <f>IFERROR(INDEX('Groups A-H'!$C$5:$C$58,MATCH(H31,'Groups A-H'!$B$5:$B$58,0)),"")</f>
        <v>Immigration</v>
      </c>
      <c r="K31" s="34"/>
    </row>
    <row r="32" spans="1:11" ht="33" customHeight="1" x14ac:dyDescent="0.2">
      <c r="A32" s="32">
        <v>26</v>
      </c>
      <c r="B32" s="33">
        <v>46302</v>
      </c>
      <c r="C32" s="32" t="str">
        <f t="shared" si="0"/>
        <v>Wednesday</v>
      </c>
      <c r="D32" s="32" t="s">
        <v>88</v>
      </c>
      <c r="E32" s="5"/>
      <c r="F32" s="32" t="s">
        <v>76</v>
      </c>
      <c r="G32" s="32" t="s">
        <v>102</v>
      </c>
      <c r="H32" s="32" t="s">
        <v>77</v>
      </c>
      <c r="I32" s="34" t="str">
        <f>IFERROR(INDEX('Groups A-H'!$C$5:$C$58,MATCH(G32,'Groups A-H'!$B$5:$B$58,0)),"")</f>
        <v>BFAL</v>
      </c>
      <c r="J32" s="34" t="str">
        <f>IFERROR(INDEX('Groups A-H'!$C$5:$C$58,MATCH(H32,'Groups A-H'!$B$5:$B$58,0)),"")</f>
        <v>Thromde Sherig</v>
      </c>
      <c r="K32" s="34"/>
    </row>
    <row r="33" spans="1:11" ht="60.75" customHeight="1" x14ac:dyDescent="0.2">
      <c r="A33" s="32">
        <v>27</v>
      </c>
      <c r="B33" s="33">
        <v>46303</v>
      </c>
      <c r="C33" s="32" t="str">
        <f t="shared" si="0"/>
        <v>Thursday</v>
      </c>
      <c r="D33" s="32" t="s">
        <v>84</v>
      </c>
      <c r="E33" s="5"/>
      <c r="F33" s="32" t="s">
        <v>111</v>
      </c>
      <c r="G33" s="32" t="s">
        <v>115</v>
      </c>
      <c r="H33" s="32" t="s">
        <v>112</v>
      </c>
      <c r="I33" s="34" t="str">
        <f>IFERROR(INDEX('Groups A-H'!$C$5:$C$58,MATCH(G33,'Groups A-H'!$B$5:$B$58,0)),"")</f>
        <v>FCB</v>
      </c>
      <c r="J33" s="34" t="str">
        <f>IFERROR(INDEX('Groups A-H'!$C$5:$C$58,MATCH(H33,'Groups A-H'!$B$5:$B$58,0)),"")</f>
        <v>CST United</v>
      </c>
      <c r="K33" s="34"/>
    </row>
    <row r="34" spans="1:11" ht="33" customHeight="1" x14ac:dyDescent="0.2">
      <c r="A34" s="32">
        <v>28</v>
      </c>
      <c r="B34" s="33">
        <v>46303</v>
      </c>
      <c r="C34" s="32" t="str">
        <f t="shared" si="0"/>
        <v>Thursday</v>
      </c>
      <c r="D34" s="32" t="s">
        <v>88</v>
      </c>
      <c r="E34" s="5"/>
      <c r="F34" s="32" t="s">
        <v>85</v>
      </c>
      <c r="G34" s="32" t="s">
        <v>87</v>
      </c>
      <c r="H34" s="32" t="s">
        <v>99</v>
      </c>
      <c r="I34" s="34" t="str">
        <f>IFERROR(INDEX('Groups A-H'!$C$5:$C$58,MATCH(G34,'Groups A-H'!$B$5:$B$58,0)),"")</f>
        <v>PTDP</v>
      </c>
      <c r="J34" s="34" t="str">
        <f>IFERROR(INDEX('Groups A-H'!$C$5:$C$58,MATCH(H34,'Groups A-H'!$B$5:$B$58,0)),"")</f>
        <v>Tashi Metals</v>
      </c>
      <c r="K34" s="34"/>
    </row>
    <row r="35" spans="1:11" ht="33" customHeight="1" x14ac:dyDescent="0.2">
      <c r="A35" s="32">
        <v>29</v>
      </c>
      <c r="B35" s="33">
        <v>46304</v>
      </c>
      <c r="C35" s="32" t="str">
        <f t="shared" si="0"/>
        <v>Friday</v>
      </c>
      <c r="D35" s="32" t="s">
        <v>84</v>
      </c>
      <c r="E35" s="5"/>
      <c r="F35" s="32" t="s">
        <v>89</v>
      </c>
      <c r="G35" s="32" t="s">
        <v>97</v>
      </c>
      <c r="H35" s="32" t="s">
        <v>90</v>
      </c>
      <c r="I35" s="34" t="str">
        <f>IFERROR(INDEX('Groups A-H'!$C$5:$C$58,MATCH(G35,'Groups A-H'!$B$5:$B$58,0)),"")</f>
        <v>BPC</v>
      </c>
      <c r="J35" s="34" t="str">
        <f>IFERROR(INDEX('Groups A-H'!$C$5:$C$58,MATCH(H35,'Groups A-H'!$B$5:$B$58,0)),"")</f>
        <v>Zimdra FC</v>
      </c>
      <c r="K35" s="34" t="s">
        <v>121</v>
      </c>
    </row>
    <row r="36" spans="1:11" ht="33" customHeight="1" x14ac:dyDescent="0.2">
      <c r="A36" s="32">
        <v>30</v>
      </c>
      <c r="B36" s="33">
        <v>46304</v>
      </c>
      <c r="C36" s="32" t="str">
        <f t="shared" si="0"/>
        <v>Friday</v>
      </c>
      <c r="D36" s="32" t="s">
        <v>88</v>
      </c>
      <c r="E36" s="5"/>
      <c r="F36" s="32" t="s">
        <v>89</v>
      </c>
      <c r="G36" s="32" t="s">
        <v>91</v>
      </c>
      <c r="H36" s="32" t="s">
        <v>98</v>
      </c>
      <c r="I36" s="34" t="str">
        <f>IFERROR(INDEX('Groups A-H'!$C$5:$C$58,MATCH(G36,'Groups A-H'!$B$5:$B$58,0)),"")</f>
        <v>ICP, Phuentsholing</v>
      </c>
      <c r="J36" s="34" t="str">
        <f>IFERROR(INDEX('Groups A-H'!$C$5:$C$58,MATCH(H36,'Groups A-H'!$B$5:$B$58,0)),"")</f>
        <v>CST Kangtsey</v>
      </c>
      <c r="K36" s="34" t="s">
        <v>121</v>
      </c>
    </row>
    <row r="37" spans="1:11" ht="33" customHeight="1" x14ac:dyDescent="0.2">
      <c r="A37" s="29">
        <v>31</v>
      </c>
      <c r="B37" s="30">
        <v>46305</v>
      </c>
      <c r="C37" s="29" t="str">
        <f t="shared" si="0"/>
        <v>Saturday</v>
      </c>
      <c r="D37" s="29" t="s">
        <v>80</v>
      </c>
      <c r="E37" s="5"/>
      <c r="F37" s="29" t="s">
        <v>105</v>
      </c>
      <c r="G37" s="29" t="s">
        <v>106</v>
      </c>
      <c r="H37" s="29" t="s">
        <v>109</v>
      </c>
      <c r="I37" s="31" t="str">
        <f>IFERROR(INDEX('Groups A-H'!$C$5:$C$58,MATCH(G37,'Groups A-H'!$B$5:$B$58,0)),"")</f>
        <v>BCCL</v>
      </c>
      <c r="J37" s="31" t="str">
        <f>IFERROR(INDEX('Groups A-H'!$C$5:$C$58,MATCH(H37,'Groups A-H'!$B$5:$B$58,0)),"")</f>
        <v>Pling Hospital</v>
      </c>
      <c r="K37" s="31"/>
    </row>
    <row r="38" spans="1:11" ht="33" customHeight="1" x14ac:dyDescent="0.2">
      <c r="A38" s="29">
        <v>32</v>
      </c>
      <c r="B38" s="30">
        <v>46305</v>
      </c>
      <c r="C38" s="29" t="str">
        <f t="shared" si="0"/>
        <v>Saturday</v>
      </c>
      <c r="D38" s="29" t="s">
        <v>84</v>
      </c>
      <c r="E38" s="5"/>
      <c r="F38" s="29" t="s">
        <v>105</v>
      </c>
      <c r="G38" s="29" t="s">
        <v>107</v>
      </c>
      <c r="H38" s="29" t="s">
        <v>108</v>
      </c>
      <c r="I38" s="31" t="str">
        <f>IFERROR(INDEX('Groups A-H'!$C$5:$C$58,MATCH(G38,'Groups A-H'!$B$5:$B$58,0)),"")</f>
        <v>STCBL</v>
      </c>
      <c r="J38" s="31" t="str">
        <f>IFERROR(INDEX('Groups A-H'!$C$5:$C$58,MATCH(H38,'Groups A-H'!$B$5:$B$58,0)),"")</f>
        <v>GCBS</v>
      </c>
      <c r="K38" s="31"/>
    </row>
    <row r="39" spans="1:11" ht="33" customHeight="1" x14ac:dyDescent="0.2">
      <c r="A39" s="29">
        <v>33</v>
      </c>
      <c r="B39" s="30">
        <v>46305</v>
      </c>
      <c r="C39" s="29" t="str">
        <f t="shared" ref="C39:C70" si="1">TEXT(B39,"dddd")</f>
        <v>Saturday</v>
      </c>
      <c r="D39" s="29" t="s">
        <v>88</v>
      </c>
      <c r="E39" s="5"/>
      <c r="F39" s="29" t="s">
        <v>76</v>
      </c>
      <c r="G39" s="29" t="s">
        <v>101</v>
      </c>
      <c r="H39" s="29" t="s">
        <v>77</v>
      </c>
      <c r="I39" s="31" t="str">
        <f>IFERROR(INDEX('Groups A-H'!$C$5:$C$58,MATCH(G39,'Groups A-H'!$B$5:$B$58,0)),"")</f>
        <v>Pling Taxi</v>
      </c>
      <c r="J39" s="31" t="str">
        <f>IFERROR(INDEX('Groups A-H'!$C$5:$C$58,MATCH(H39,'Groups A-H'!$B$5:$B$58,0)),"")</f>
        <v>Thromde Sherig</v>
      </c>
      <c r="K39" s="31"/>
    </row>
    <row r="40" spans="1:11" ht="33" customHeight="1" x14ac:dyDescent="0.2">
      <c r="A40" s="29">
        <v>34</v>
      </c>
      <c r="B40" s="30">
        <v>46306</v>
      </c>
      <c r="C40" s="29" t="str">
        <f t="shared" si="1"/>
        <v>Sunday</v>
      </c>
      <c r="D40" s="29" t="s">
        <v>80</v>
      </c>
      <c r="E40" s="5"/>
      <c r="F40" s="29" t="s">
        <v>111</v>
      </c>
      <c r="G40" s="29" t="s">
        <v>114</v>
      </c>
      <c r="H40" s="29" t="s">
        <v>113</v>
      </c>
      <c r="I40" s="31" t="str">
        <f>IFERROR(INDEX('Groups A-H'!$C$5:$C$58,MATCH(G40,'Groups A-H'!$B$5:$B$58,0)),"")</f>
        <v>MDP FC</v>
      </c>
      <c r="J40" s="31" t="str">
        <f>IFERROR(INDEX('Groups A-H'!$C$5:$C$58,MATCH(H40,'Groups A-H'!$B$5:$B$58,0)),"")</f>
        <v>Pelden Warriors</v>
      </c>
      <c r="K40" s="31"/>
    </row>
    <row r="41" spans="1:11" ht="33" customHeight="1" x14ac:dyDescent="0.2">
      <c r="A41" s="29">
        <v>35</v>
      </c>
      <c r="B41" s="30">
        <v>46306</v>
      </c>
      <c r="C41" s="29" t="str">
        <f t="shared" si="1"/>
        <v>Sunday</v>
      </c>
      <c r="D41" s="29" t="s">
        <v>84</v>
      </c>
      <c r="E41" s="5"/>
      <c r="F41" s="29" t="s">
        <v>116</v>
      </c>
      <c r="G41" s="29" t="s">
        <v>117</v>
      </c>
      <c r="H41" s="29" t="s">
        <v>120</v>
      </c>
      <c r="I41" s="31" t="str">
        <f>IFERROR(INDEX('Groups A-H'!$C$5:$C$58,MATCH(G41,'Groups A-H'!$B$5:$B$58,0)),"")</f>
        <v>RICBL</v>
      </c>
      <c r="J41" s="31" t="str">
        <f>IFERROR(INDEX('Groups A-H'!$C$5:$C$58,MATCH(H41,'Groups A-H'!$B$5:$B$58,0)),"")</f>
        <v>Coca Cola</v>
      </c>
      <c r="K41" s="31"/>
    </row>
    <row r="42" spans="1:11" ht="33" customHeight="1" x14ac:dyDescent="0.2">
      <c r="A42" s="29">
        <v>36</v>
      </c>
      <c r="B42" s="30">
        <v>46306</v>
      </c>
      <c r="C42" s="29" t="str">
        <f t="shared" si="1"/>
        <v>Sunday</v>
      </c>
      <c r="D42" s="29" t="s">
        <v>88</v>
      </c>
      <c r="E42" s="5"/>
      <c r="F42" s="29" t="s">
        <v>116</v>
      </c>
      <c r="G42" s="29" t="s">
        <v>118</v>
      </c>
      <c r="H42" s="29" t="s">
        <v>119</v>
      </c>
      <c r="I42" s="31" t="str">
        <f>IFERROR(INDEX('Groups A-H'!$C$5:$C$58,MATCH(G42,'Groups A-H'!$B$5:$B$58,0)),"")</f>
        <v>BEA</v>
      </c>
      <c r="J42" s="31" t="str">
        <f>IFERROR(INDEX('Groups A-H'!$C$5:$C$58,MATCH(H42,'Groups A-H'!$B$5:$B$58,0)),"")</f>
        <v>BOBL</v>
      </c>
      <c r="K42" s="31"/>
    </row>
    <row r="43" spans="1:11" ht="60.75" customHeight="1" x14ac:dyDescent="0.2">
      <c r="A43" s="32">
        <v>37</v>
      </c>
      <c r="B43" s="33">
        <v>46307</v>
      </c>
      <c r="C43" s="32" t="str">
        <f t="shared" si="1"/>
        <v>Monday</v>
      </c>
      <c r="D43" s="32" t="s">
        <v>84</v>
      </c>
      <c r="E43" s="5"/>
      <c r="F43" s="32" t="s">
        <v>76</v>
      </c>
      <c r="G43" s="32" t="s">
        <v>110</v>
      </c>
      <c r="H43" s="32" t="s">
        <v>77</v>
      </c>
      <c r="I43" s="34" t="str">
        <f>IFERROR(INDEX('Groups A-H'!$C$5:$C$58,MATCH(G43,'Groups A-H'!$B$5:$B$58,0)),"")</f>
        <v>BBPL (Bhutan Brewary Private Limited)</v>
      </c>
      <c r="J43" s="34" t="str">
        <f>IFERROR(INDEX('Groups A-H'!$C$5:$C$58,MATCH(H43,'Groups A-H'!$B$5:$B$58,0)),"")</f>
        <v>Thromde Sherig</v>
      </c>
      <c r="K43" s="34"/>
    </row>
    <row r="44" spans="1:11" ht="33" customHeight="1" x14ac:dyDescent="0.2">
      <c r="A44" s="32">
        <v>38</v>
      </c>
      <c r="B44" s="33">
        <v>46307</v>
      </c>
      <c r="C44" s="32" t="str">
        <f t="shared" si="1"/>
        <v>Monday</v>
      </c>
      <c r="D44" s="32" t="s">
        <v>88</v>
      </c>
      <c r="E44" s="5"/>
      <c r="F44" s="32" t="s">
        <v>76</v>
      </c>
      <c r="G44" s="32" t="s">
        <v>78</v>
      </c>
      <c r="H44" s="32" t="s">
        <v>101</v>
      </c>
      <c r="I44" s="34" t="str">
        <f>IFERROR(INDEX('Groups A-H'!$C$5:$C$58,MATCH(G44,'Groups A-H'!$B$5:$B$58,0)),"")</f>
        <v>Immigration</v>
      </c>
      <c r="J44" s="34" t="str">
        <f>IFERROR(INDEX('Groups A-H'!$C$5:$C$58,MATCH(H44,'Groups A-H'!$B$5:$B$58,0)),"")</f>
        <v>Pling Taxi</v>
      </c>
      <c r="K44" s="34"/>
    </row>
    <row r="45" spans="1:11" ht="33" customHeight="1" x14ac:dyDescent="0.2">
      <c r="A45" s="32">
        <v>39</v>
      </c>
      <c r="B45" s="33">
        <v>46308</v>
      </c>
      <c r="C45" s="32" t="str">
        <f t="shared" si="1"/>
        <v>Tuesday</v>
      </c>
      <c r="D45" s="32" t="s">
        <v>84</v>
      </c>
      <c r="E45" s="5"/>
      <c r="F45" s="32" t="s">
        <v>111</v>
      </c>
      <c r="G45" s="32" t="s">
        <v>114</v>
      </c>
      <c r="H45" s="32" t="s">
        <v>112</v>
      </c>
      <c r="I45" s="34" t="str">
        <f>IFERROR(INDEX('Groups A-H'!$C$5:$C$58,MATCH(G45,'Groups A-H'!$B$5:$B$58,0)),"")</f>
        <v>MDP FC</v>
      </c>
      <c r="J45" s="34" t="str">
        <f>IFERROR(INDEX('Groups A-H'!$C$5:$C$58,MATCH(H45,'Groups A-H'!$B$5:$B$58,0)),"")</f>
        <v>CST United</v>
      </c>
      <c r="K45" s="34"/>
    </row>
    <row r="46" spans="1:11" ht="33" customHeight="1" x14ac:dyDescent="0.2">
      <c r="A46" s="32">
        <v>40</v>
      </c>
      <c r="B46" s="33">
        <v>46308</v>
      </c>
      <c r="C46" s="32" t="str">
        <f t="shared" si="1"/>
        <v>Tuesday</v>
      </c>
      <c r="D46" s="32" t="s">
        <v>88</v>
      </c>
      <c r="E46" s="5"/>
      <c r="F46" s="32" t="s">
        <v>92</v>
      </c>
      <c r="G46" s="32" t="s">
        <v>104</v>
      </c>
      <c r="H46" s="32" t="s">
        <v>94</v>
      </c>
      <c r="I46" s="34" t="str">
        <f>IFERROR(INDEX('Groups A-H'!$C$5:$C$58,MATCH(G46,'Groups A-H'!$B$5:$B$58,0)),"")</f>
        <v>DFAL</v>
      </c>
      <c r="J46" s="34" t="str">
        <f>IFERROR(INDEX('Groups A-H'!$C$5:$C$58,MATCH(H46,'Groups A-H'!$B$5:$B$58,0)),"")</f>
        <v>DGPC United</v>
      </c>
      <c r="K46" s="34" t="s">
        <v>122</v>
      </c>
    </row>
    <row r="47" spans="1:11" ht="33" customHeight="1" x14ac:dyDescent="0.2">
      <c r="A47" s="32">
        <v>41</v>
      </c>
      <c r="B47" s="33">
        <v>46309</v>
      </c>
      <c r="C47" s="32" t="str">
        <f t="shared" si="1"/>
        <v>Wednesday</v>
      </c>
      <c r="D47" s="32" t="s">
        <v>84</v>
      </c>
      <c r="E47" s="5"/>
      <c r="F47" s="32" t="s">
        <v>81</v>
      </c>
      <c r="G47" s="32" t="s">
        <v>82</v>
      </c>
      <c r="H47" s="32" t="s">
        <v>95</v>
      </c>
      <c r="I47" s="34" t="str">
        <f>IFERROR(INDEX('Groups A-H'!$C$5:$C$58,MATCH(G47,'Groups A-H'!$B$5:$B$58,0)),"")</f>
        <v>FI FC</v>
      </c>
      <c r="J47" s="34" t="str">
        <f>IFERROR(INDEX('Groups A-H'!$C$5:$C$58,MATCH(H47,'Groups A-H'!$B$5:$B$58,0)),"")</f>
        <v>570 MW</v>
      </c>
      <c r="K47" s="34" t="s">
        <v>123</v>
      </c>
    </row>
    <row r="48" spans="1:11" ht="33" customHeight="1" x14ac:dyDescent="0.2">
      <c r="A48" s="32">
        <v>42</v>
      </c>
      <c r="B48" s="33">
        <v>46309</v>
      </c>
      <c r="C48" s="32" t="str">
        <f t="shared" si="1"/>
        <v>Wednesday</v>
      </c>
      <c r="D48" s="32" t="s">
        <v>88</v>
      </c>
      <c r="E48" s="5"/>
      <c r="F48" s="32" t="s">
        <v>81</v>
      </c>
      <c r="G48" s="32" t="s">
        <v>96</v>
      </c>
      <c r="H48" s="32" t="s">
        <v>83</v>
      </c>
      <c r="I48" s="34" t="str">
        <f>IFERROR(INDEX('Groups A-H'!$C$5:$C$58,MATCH(G48,'Groups A-H'!$B$5:$B$58,0)),"")</f>
        <v>TCC</v>
      </c>
      <c r="J48" s="34" t="str">
        <f>IFERROR(INDEX('Groups A-H'!$C$5:$C$58,MATCH(H48,'Groups A-H'!$B$5:$B$58,0)),"")</f>
        <v>Druk Larjung</v>
      </c>
      <c r="K48" s="34" t="s">
        <v>123</v>
      </c>
    </row>
    <row r="49" spans="1:11" ht="33" customHeight="1" x14ac:dyDescent="0.2">
      <c r="A49" s="32">
        <v>43</v>
      </c>
      <c r="B49" s="33">
        <v>46310</v>
      </c>
      <c r="C49" s="32" t="str">
        <f t="shared" si="1"/>
        <v>Thursday</v>
      </c>
      <c r="D49" s="32" t="s">
        <v>84</v>
      </c>
      <c r="E49" s="5"/>
      <c r="F49" s="32" t="s">
        <v>105</v>
      </c>
      <c r="G49" s="32" t="s">
        <v>106</v>
      </c>
      <c r="H49" s="32" t="s">
        <v>108</v>
      </c>
      <c r="I49" s="34" t="str">
        <f>IFERROR(INDEX('Groups A-H'!$C$5:$C$58,MATCH(G49,'Groups A-H'!$B$5:$B$58,0)),"")</f>
        <v>BCCL</v>
      </c>
      <c r="J49" s="34" t="str">
        <f>IFERROR(INDEX('Groups A-H'!$C$5:$C$58,MATCH(H49,'Groups A-H'!$B$5:$B$58,0)),"")</f>
        <v>GCBS</v>
      </c>
      <c r="K49" s="34" t="s">
        <v>124</v>
      </c>
    </row>
    <row r="50" spans="1:11" ht="33" customHeight="1" x14ac:dyDescent="0.2">
      <c r="A50" s="32">
        <v>44</v>
      </c>
      <c r="B50" s="33">
        <v>46310</v>
      </c>
      <c r="C50" s="32" t="str">
        <f t="shared" si="1"/>
        <v>Thursday</v>
      </c>
      <c r="D50" s="32" t="s">
        <v>88</v>
      </c>
      <c r="E50" s="5"/>
      <c r="F50" s="32" t="s">
        <v>105</v>
      </c>
      <c r="G50" s="32" t="s">
        <v>109</v>
      </c>
      <c r="H50" s="32" t="s">
        <v>107</v>
      </c>
      <c r="I50" s="34" t="str">
        <f>IFERROR(INDEX('Groups A-H'!$C$5:$C$58,MATCH(G50,'Groups A-H'!$B$5:$B$58,0)),"")</f>
        <v>Pling Hospital</v>
      </c>
      <c r="J50" s="34" t="str">
        <f>IFERROR(INDEX('Groups A-H'!$C$5:$C$58,MATCH(H50,'Groups A-H'!$B$5:$B$58,0)),"")</f>
        <v>STCBL</v>
      </c>
      <c r="K50" s="34" t="s">
        <v>124</v>
      </c>
    </row>
    <row r="51" spans="1:11" ht="49" customHeight="1" x14ac:dyDescent="0.2">
      <c r="A51" s="32">
        <v>45</v>
      </c>
      <c r="B51" s="33">
        <v>46311</v>
      </c>
      <c r="C51" s="32" t="str">
        <f t="shared" si="1"/>
        <v>Friday</v>
      </c>
      <c r="D51" s="32" t="s">
        <v>84</v>
      </c>
      <c r="E51" s="5"/>
      <c r="F51" s="32" t="s">
        <v>76</v>
      </c>
      <c r="G51" s="32" t="s">
        <v>110</v>
      </c>
      <c r="H51" s="32" t="s">
        <v>101</v>
      </c>
      <c r="I51" s="34" t="str">
        <f>IFERROR(INDEX('Groups A-H'!$C$5:$C$58,MATCH(G51,'Groups A-H'!$B$5:$B$58,0)),"")</f>
        <v>BBPL (Bhutan Brewary Private Limited)</v>
      </c>
      <c r="J51" s="34" t="str">
        <f>IFERROR(INDEX('Groups A-H'!$C$5:$C$58,MATCH(H51,'Groups A-H'!$B$5:$B$58,0)),"")</f>
        <v>Pling Taxi</v>
      </c>
      <c r="K51" s="34" t="s">
        <v>258</v>
      </c>
    </row>
    <row r="52" spans="1:11" ht="33" customHeight="1" x14ac:dyDescent="0.2">
      <c r="A52" s="32">
        <v>46</v>
      </c>
      <c r="B52" s="33">
        <v>46311</v>
      </c>
      <c r="C52" s="32" t="str">
        <f t="shared" si="1"/>
        <v>Friday</v>
      </c>
      <c r="D52" s="32" t="s">
        <v>88</v>
      </c>
      <c r="E52" s="5"/>
      <c r="F52" s="32" t="s">
        <v>76</v>
      </c>
      <c r="G52" s="32" t="s">
        <v>78</v>
      </c>
      <c r="H52" s="32" t="s">
        <v>102</v>
      </c>
      <c r="I52" s="34" t="str">
        <f>IFERROR(INDEX('Groups A-H'!$C$5:$C$58,MATCH(G52,'Groups A-H'!$B$5:$B$58,0)),"")</f>
        <v>Immigration</v>
      </c>
      <c r="J52" s="34" t="str">
        <f>IFERROR(INDEX('Groups A-H'!$C$5:$C$58,MATCH(H52,'Groups A-H'!$B$5:$B$58,0)),"")</f>
        <v>BFAL</v>
      </c>
      <c r="K52" s="34" t="s">
        <v>258</v>
      </c>
    </row>
    <row r="53" spans="1:11" ht="33" customHeight="1" x14ac:dyDescent="0.2">
      <c r="A53" s="29">
        <v>47</v>
      </c>
      <c r="B53" s="30">
        <v>46312</v>
      </c>
      <c r="C53" s="29" t="str">
        <f t="shared" si="1"/>
        <v>Saturday</v>
      </c>
      <c r="D53" s="29" t="s">
        <v>80</v>
      </c>
      <c r="E53" s="5"/>
      <c r="F53" s="29" t="s">
        <v>116</v>
      </c>
      <c r="G53" s="29" t="s">
        <v>117</v>
      </c>
      <c r="H53" s="29" t="s">
        <v>119</v>
      </c>
      <c r="I53" s="31" t="str">
        <f>IFERROR(INDEX('Groups A-H'!$C$5:$C$58,MATCH(G53,'Groups A-H'!$B$5:$B$58,0)),"")</f>
        <v>RICBL</v>
      </c>
      <c r="J53" s="31" t="str">
        <f>IFERROR(INDEX('Groups A-H'!$C$5:$C$58,MATCH(H53,'Groups A-H'!$B$5:$B$58,0)),"")</f>
        <v>BOBL</v>
      </c>
      <c r="K53" s="31" t="s">
        <v>260</v>
      </c>
    </row>
    <row r="54" spans="1:11" ht="33" customHeight="1" x14ac:dyDescent="0.2">
      <c r="A54" s="29">
        <v>48</v>
      </c>
      <c r="B54" s="30">
        <v>46312</v>
      </c>
      <c r="C54" s="29" t="str">
        <f t="shared" si="1"/>
        <v>Saturday</v>
      </c>
      <c r="D54" s="29" t="s">
        <v>84</v>
      </c>
      <c r="E54" s="5"/>
      <c r="F54" s="29" t="s">
        <v>116</v>
      </c>
      <c r="G54" s="29" t="s">
        <v>120</v>
      </c>
      <c r="H54" s="29" t="s">
        <v>118</v>
      </c>
      <c r="I54" s="31" t="str">
        <f>IFERROR(INDEX('Groups A-H'!$C$5:$C$58,MATCH(G54,'Groups A-H'!$B$5:$B$58,0)),"")</f>
        <v>Coca Cola</v>
      </c>
      <c r="J54" s="31" t="str">
        <f>IFERROR(INDEX('Groups A-H'!$C$5:$C$58,MATCH(H54,'Groups A-H'!$B$5:$B$58,0)),"")</f>
        <v>BEA</v>
      </c>
      <c r="K54" s="31" t="s">
        <v>260</v>
      </c>
    </row>
    <row r="55" spans="1:11" ht="33" customHeight="1" x14ac:dyDescent="0.2">
      <c r="A55" s="29">
        <v>49</v>
      </c>
      <c r="B55" s="30">
        <v>46312</v>
      </c>
      <c r="C55" s="29" t="str">
        <f t="shared" si="1"/>
        <v>Saturday</v>
      </c>
      <c r="D55" s="29" t="s">
        <v>88</v>
      </c>
      <c r="E55" s="5"/>
      <c r="F55" s="29" t="s">
        <v>85</v>
      </c>
      <c r="G55" s="29" t="s">
        <v>100</v>
      </c>
      <c r="H55" s="29" t="s">
        <v>87</v>
      </c>
      <c r="I55" s="31" t="str">
        <f>IFERROR(INDEX('Groups A-H'!$C$5:$C$58,MATCH(G55,'Groups A-H'!$B$5:$B$58,0)),"")</f>
        <v>Bhutan Lottery</v>
      </c>
      <c r="J55" s="31" t="str">
        <f>IFERROR(INDEX('Groups A-H'!$C$5:$C$58,MATCH(H55,'Groups A-H'!$B$5:$B$58,0)),"")</f>
        <v>PTDP</v>
      </c>
      <c r="K55" s="31" t="s">
        <v>125</v>
      </c>
    </row>
    <row r="56" spans="1:11" ht="33" customHeight="1" x14ac:dyDescent="0.2">
      <c r="A56" s="29">
        <v>50</v>
      </c>
      <c r="B56" s="30">
        <v>46313</v>
      </c>
      <c r="C56" s="29" t="str">
        <f t="shared" si="1"/>
        <v>Sunday</v>
      </c>
      <c r="D56" s="29" t="s">
        <v>80</v>
      </c>
      <c r="E56" s="5"/>
      <c r="F56" s="29" t="s">
        <v>92</v>
      </c>
      <c r="G56" s="29" t="s">
        <v>93</v>
      </c>
      <c r="H56" s="29" t="s">
        <v>103</v>
      </c>
      <c r="I56" s="31" t="str">
        <f>IFERROR(INDEX('Groups A-H'!$C$5:$C$58,MATCH(G56,'Groups A-H'!$B$5:$B$58,0)),"")</f>
        <v>BSMPL</v>
      </c>
      <c r="J56" s="31" t="str">
        <f>IFERROR(INDEX('Groups A-H'!$C$5:$C$58,MATCH(H56,'Groups A-H'!$B$5:$B$58,0)),"")</f>
        <v>OG United</v>
      </c>
      <c r="K56" s="31"/>
    </row>
    <row r="57" spans="1:11" ht="33" customHeight="1" x14ac:dyDescent="0.2">
      <c r="A57" s="29">
        <v>51</v>
      </c>
      <c r="B57" s="30">
        <v>46313</v>
      </c>
      <c r="C57" s="29" t="str">
        <f t="shared" si="1"/>
        <v>Sunday</v>
      </c>
      <c r="D57" s="29" t="s">
        <v>84</v>
      </c>
      <c r="E57" s="5"/>
      <c r="F57" s="29" t="s">
        <v>111</v>
      </c>
      <c r="G57" s="29" t="s">
        <v>113</v>
      </c>
      <c r="H57" s="29" t="s">
        <v>115</v>
      </c>
      <c r="I57" s="31" t="str">
        <f>IFERROR(INDEX('Groups A-H'!$C$5:$C$58,MATCH(G57,'Groups A-H'!$B$5:$B$58,0)),"")</f>
        <v>Pelden Warriors</v>
      </c>
      <c r="J57" s="31" t="str">
        <f>IFERROR(INDEX('Groups A-H'!$C$5:$C$58,MATCH(H57,'Groups A-H'!$B$5:$B$58,0)),"")</f>
        <v>FCB</v>
      </c>
      <c r="K57" s="31" t="s">
        <v>126</v>
      </c>
    </row>
    <row r="58" spans="1:11" ht="56" customHeight="1" x14ac:dyDescent="0.2">
      <c r="A58" s="29">
        <v>52</v>
      </c>
      <c r="B58" s="30">
        <v>46313</v>
      </c>
      <c r="C58" s="29" t="str">
        <f t="shared" si="1"/>
        <v>Sunday</v>
      </c>
      <c r="D58" s="29" t="s">
        <v>88</v>
      </c>
      <c r="E58" s="5"/>
      <c r="F58" s="29" t="s">
        <v>85</v>
      </c>
      <c r="G58" s="29" t="s">
        <v>86</v>
      </c>
      <c r="H58" s="29" t="s">
        <v>99</v>
      </c>
      <c r="I58" s="31" t="str">
        <f>IFERROR(INDEX('Groups A-H'!$C$5:$C$58,MATCH(G58,'Groups A-H'!$B$5:$B$58,0)),"")</f>
        <v>Bhutan Board Product Limited (BBPL)</v>
      </c>
      <c r="J58" s="31" t="str">
        <f>IFERROR(INDEX('Groups A-H'!$C$5:$C$58,MATCH(H58,'Groups A-H'!$B$5:$B$58,0)),"")</f>
        <v>Tashi Metals</v>
      </c>
      <c r="K58" s="31" t="s">
        <v>125</v>
      </c>
    </row>
    <row r="59" spans="1:11" ht="33" customHeight="1" x14ac:dyDescent="0.2">
      <c r="A59" s="6" t="s">
        <v>127</v>
      </c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ht="33" customHeight="1" x14ac:dyDescent="0.2">
      <c r="A60" s="35">
        <v>53</v>
      </c>
      <c r="B60" s="36">
        <v>46314</v>
      </c>
      <c r="C60" s="35" t="str">
        <f t="shared" ref="C60:C67" si="2">TEXT(B60,"dddd")</f>
        <v>Monday</v>
      </c>
      <c r="D60" s="35" t="s">
        <v>84</v>
      </c>
      <c r="E60" s="4" t="s">
        <v>51</v>
      </c>
      <c r="F60" s="35" t="s">
        <v>128</v>
      </c>
      <c r="G60" s="35" t="s">
        <v>129</v>
      </c>
      <c r="H60" s="35" t="s">
        <v>130</v>
      </c>
      <c r="I60" s="35" t="str">
        <f>IF(COUNT('Group Fixtures'!$E$6:$F$78)&lt;104,"TBD",IFERROR(INDEX('Groups A-H'!$C$5:$C$58,MATCH('Round of 16'!$B$4,'Groups A-H'!$B$5:$B$58,0)),'Round of 16'!$B$4))</f>
        <v>TBD</v>
      </c>
      <c r="J60" s="35" t="str">
        <f>IF(COUNT('Group Fixtures'!$E$6:$F$78)&lt;104,"TBD",IFERROR(INDEX('Groups A-H'!$C$5:$C$58,MATCH('Round of 16'!$C$4,'Groups A-H'!$B$5:$B$58,0)),'Round of 16'!$C$4))</f>
        <v>TBD</v>
      </c>
      <c r="K60" s="37"/>
    </row>
    <row r="61" spans="1:11" ht="33" customHeight="1" x14ac:dyDescent="0.2">
      <c r="A61" s="35">
        <v>54</v>
      </c>
      <c r="B61" s="36">
        <v>46314</v>
      </c>
      <c r="C61" s="35" t="str">
        <f t="shared" si="2"/>
        <v>Monday</v>
      </c>
      <c r="D61" s="35" t="s">
        <v>88</v>
      </c>
      <c r="E61" s="4"/>
      <c r="F61" s="35" t="s">
        <v>131</v>
      </c>
      <c r="G61" s="35" t="s">
        <v>132</v>
      </c>
      <c r="H61" s="35" t="s">
        <v>133</v>
      </c>
      <c r="I61" s="35" t="str">
        <f>IF(COUNT('Group Fixtures'!$E$6:$F$78)&lt;104,"TBD",IFERROR(INDEX('Groups A-H'!$C$5:$C$58,MATCH('Round of 16'!$B$5,'Groups A-H'!$B$5:$B$58,0)),'Round of 16'!$B$5))</f>
        <v>TBD</v>
      </c>
      <c r="J61" s="35" t="str">
        <f>IF(COUNT('Group Fixtures'!$E$6:$F$78)&lt;104,"TBD",IFERROR(INDEX('Groups A-H'!$C$5:$C$58,MATCH('Round of 16'!$C$5,'Groups A-H'!$B$5:$B$58,0)),'Round of 16'!$C$5))</f>
        <v>TBD</v>
      </c>
      <c r="K61" s="37"/>
    </row>
    <row r="62" spans="1:11" ht="33" customHeight="1" x14ac:dyDescent="0.2">
      <c r="A62" s="35">
        <v>55</v>
      </c>
      <c r="B62" s="36">
        <v>46315</v>
      </c>
      <c r="C62" s="35" t="str">
        <f t="shared" si="2"/>
        <v>Tuesday</v>
      </c>
      <c r="D62" s="35" t="s">
        <v>84</v>
      </c>
      <c r="E62" s="4"/>
      <c r="F62" s="35" t="s">
        <v>134</v>
      </c>
      <c r="G62" s="35" t="s">
        <v>135</v>
      </c>
      <c r="H62" s="35" t="s">
        <v>136</v>
      </c>
      <c r="I62" s="35" t="str">
        <f>IF(COUNT('Group Fixtures'!$E$6:$F$78)&lt;104,"TBD",IFERROR(INDEX('Groups A-H'!$C$5:$C$58,MATCH('Round of 16'!$B$7,'Groups A-H'!$B$5:$B$58,0)),'Round of 16'!$B$7))</f>
        <v>TBD</v>
      </c>
      <c r="J62" s="35" t="str">
        <f>IF(COUNT('Group Fixtures'!$E$6:$F$78)&lt;104,"TBD",IFERROR(INDEX('Groups A-H'!$C$5:$C$58,MATCH('Round of 16'!$C$7,'Groups A-H'!$B$5:$B$58,0)),'Round of 16'!$C$7))</f>
        <v>TBD</v>
      </c>
      <c r="K62" s="37"/>
    </row>
    <row r="63" spans="1:11" ht="33" customHeight="1" x14ac:dyDescent="0.2">
      <c r="A63" s="35">
        <v>56</v>
      </c>
      <c r="B63" s="36">
        <v>46315</v>
      </c>
      <c r="C63" s="35" t="str">
        <f t="shared" si="2"/>
        <v>Tuesday</v>
      </c>
      <c r="D63" s="35" t="s">
        <v>88</v>
      </c>
      <c r="E63" s="4"/>
      <c r="F63" s="35" t="s">
        <v>137</v>
      </c>
      <c r="G63" s="35" t="s">
        <v>138</v>
      </c>
      <c r="H63" s="35" t="s">
        <v>139</v>
      </c>
      <c r="I63" s="35" t="str">
        <f>IF(COUNT('Group Fixtures'!$E$6:$F$78)&lt;104,"TBD",IFERROR(INDEX('Groups A-H'!$C$5:$C$58,MATCH('Round of 16'!$B$6,'Groups A-H'!$B$5:$B$58,0)),'Round of 16'!$B$6))</f>
        <v>TBD</v>
      </c>
      <c r="J63" s="35" t="str">
        <f>IF(COUNT('Group Fixtures'!$E$6:$F$78)&lt;104,"TBD",IFERROR(INDEX('Groups A-H'!$C$5:$C$58,MATCH('Round of 16'!$C$6,'Groups A-H'!$B$5:$B$58,0)),'Round of 16'!$C$6))</f>
        <v>TBD</v>
      </c>
      <c r="K63" s="37"/>
    </row>
    <row r="64" spans="1:11" ht="33" customHeight="1" x14ac:dyDescent="0.2">
      <c r="A64" s="35">
        <v>57</v>
      </c>
      <c r="B64" s="36">
        <v>46316</v>
      </c>
      <c r="C64" s="35" t="str">
        <f t="shared" si="2"/>
        <v>Wednesday</v>
      </c>
      <c r="D64" s="35" t="s">
        <v>84</v>
      </c>
      <c r="E64" s="4"/>
      <c r="F64" s="35" t="s">
        <v>140</v>
      </c>
      <c r="G64" s="35" t="s">
        <v>141</v>
      </c>
      <c r="H64" s="35" t="s">
        <v>142</v>
      </c>
      <c r="I64" s="35" t="str">
        <f>IF(COUNT('Group Fixtures'!$E$6:$F$78)&lt;104,"TBD",IFERROR(INDEX('Groups A-H'!$C$5:$C$58,MATCH('Round of 16'!$B$8,'Groups A-H'!$B$5:$B$58,0)),'Round of 16'!$B$8))</f>
        <v>TBD</v>
      </c>
      <c r="J64" s="35" t="str">
        <f>IF(COUNT('Group Fixtures'!$E$6:$F$78)&lt;104,"TBD",IFERROR(INDEX('Groups A-H'!$C$5:$C$58,MATCH('Round of 16'!$C$8,'Groups A-H'!$B$5:$B$58,0)),'Round of 16'!$C$8))</f>
        <v>TBD</v>
      </c>
      <c r="K64" s="37"/>
    </row>
    <row r="65" spans="1:11" ht="33" customHeight="1" x14ac:dyDescent="0.2">
      <c r="A65" s="35">
        <v>58</v>
      </c>
      <c r="B65" s="36">
        <v>46316</v>
      </c>
      <c r="C65" s="35" t="str">
        <f t="shared" si="2"/>
        <v>Wednesday</v>
      </c>
      <c r="D65" s="35" t="s">
        <v>88</v>
      </c>
      <c r="E65" s="4"/>
      <c r="F65" s="35" t="s">
        <v>143</v>
      </c>
      <c r="G65" s="35" t="s">
        <v>144</v>
      </c>
      <c r="H65" s="35" t="s">
        <v>145</v>
      </c>
      <c r="I65" s="35" t="str">
        <f>IF(COUNT('Group Fixtures'!$E$6:$F$78)&lt;104,"TBD",IFERROR(INDEX('Groups A-H'!$C$5:$C$58,MATCH('Round of 16'!$B$9,'Groups A-H'!$B$5:$B$58,0)),'Round of 16'!$B$9))</f>
        <v>TBD</v>
      </c>
      <c r="J65" s="35" t="str">
        <f>IF(COUNT('Group Fixtures'!$E$6:$F$78)&lt;104,"TBD",IFERROR(INDEX('Groups A-H'!$C$5:$C$58,MATCH('Round of 16'!$C$9,'Groups A-H'!$B$5:$B$58,0)),'Round of 16'!$C$9))</f>
        <v>TBD</v>
      </c>
      <c r="K65" s="37"/>
    </row>
    <row r="66" spans="1:11" ht="33" customHeight="1" x14ac:dyDescent="0.2">
      <c r="A66" s="35">
        <v>59</v>
      </c>
      <c r="B66" s="36">
        <v>46317</v>
      </c>
      <c r="C66" s="35" t="str">
        <f t="shared" si="2"/>
        <v>Thursday</v>
      </c>
      <c r="D66" s="35" t="s">
        <v>84</v>
      </c>
      <c r="E66" s="4"/>
      <c r="F66" s="35" t="s">
        <v>146</v>
      </c>
      <c r="G66" s="35" t="s">
        <v>147</v>
      </c>
      <c r="H66" s="35" t="s">
        <v>148</v>
      </c>
      <c r="I66" s="35" t="str">
        <f>IF(COUNT('Group Fixtures'!$E$6:$F$78)&lt;104,"TBD",IFERROR(INDEX('Groups A-H'!$C$5:$C$58,MATCH('Round of 16'!$B$11,'Groups A-H'!$B$5:$B$58,0)),'Round of 16'!$B$11))</f>
        <v>TBD</v>
      </c>
      <c r="J66" s="35" t="str">
        <f>IF(COUNT('Group Fixtures'!$E$6:$F$78)&lt;104,"TBD",IFERROR(INDEX('Groups A-H'!$C$5:$C$58,MATCH('Round of 16'!$C$11,'Groups A-H'!$B$5:$B$58,0)),'Round of 16'!$C$11))</f>
        <v>TBD</v>
      </c>
      <c r="K66" s="37"/>
    </row>
    <row r="67" spans="1:11" ht="33" customHeight="1" x14ac:dyDescent="0.2">
      <c r="A67" s="35">
        <v>60</v>
      </c>
      <c r="B67" s="36">
        <v>46317</v>
      </c>
      <c r="C67" s="35" t="str">
        <f t="shared" si="2"/>
        <v>Thursday</v>
      </c>
      <c r="D67" s="35" t="s">
        <v>88</v>
      </c>
      <c r="E67" s="4"/>
      <c r="F67" s="35" t="s">
        <v>149</v>
      </c>
      <c r="G67" s="35" t="s">
        <v>150</v>
      </c>
      <c r="H67" s="35" t="s">
        <v>151</v>
      </c>
      <c r="I67" s="35" t="str">
        <f>IF(COUNT('Group Fixtures'!$E$6:$F$78)&lt;104,"TBD",IFERROR(INDEX('Groups A-H'!$C$5:$C$58,MATCH('Round of 16'!$B$10,'Groups A-H'!$B$5:$B$58,0)),'Round of 16'!$B$10))</f>
        <v>TBD</v>
      </c>
      <c r="J67" s="35" t="str">
        <f>IF(COUNT('Group Fixtures'!$E$6:$F$78)&lt;104,"TBD",IFERROR(INDEX('Groups A-H'!$C$5:$C$58,MATCH('Round of 16'!$C$10,'Groups A-H'!$B$5:$B$58,0)),'Round of 16'!$C$10))</f>
        <v>TBD</v>
      </c>
      <c r="K67" s="37"/>
    </row>
    <row r="68" spans="1:11" ht="33" customHeight="1" x14ac:dyDescent="0.2">
      <c r="A68" s="6" t="s">
        <v>152</v>
      </c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ht="33" customHeight="1" x14ac:dyDescent="0.2">
      <c r="A69" s="35">
        <v>61</v>
      </c>
      <c r="B69" s="36">
        <v>46318</v>
      </c>
      <c r="C69" s="35" t="str">
        <f>TEXT(B69,"dddd")</f>
        <v>Friday</v>
      </c>
      <c r="D69" s="35" t="s">
        <v>84</v>
      </c>
      <c r="E69" s="4" t="s">
        <v>153</v>
      </c>
      <c r="F69" s="35" t="s">
        <v>154</v>
      </c>
      <c r="G69" s="35" t="s">
        <v>155</v>
      </c>
      <c r="H69" s="35" t="s">
        <v>156</v>
      </c>
      <c r="I69" s="35" t="str">
        <f>IF('Quarter-Finals'!$B$4="","TBD",IFERROR(INDEX('Groups A-H'!$C$5:$C$58,MATCH('Quarter-Finals'!$B$4,'Groups A-H'!$B$5:$B$58,0)),'Quarter-Finals'!$B$4))</f>
        <v>TBD</v>
      </c>
      <c r="J69" s="35" t="str">
        <f>IF('Quarter-Finals'!$C$4="","TBD",IFERROR(INDEX('Groups A-H'!$C$5:$C$58,MATCH('Quarter-Finals'!$C$4,'Groups A-H'!$B$5:$B$58,0)),'Quarter-Finals'!$C$4))</f>
        <v>TBD</v>
      </c>
      <c r="K69" s="37"/>
    </row>
    <row r="70" spans="1:11" ht="33" customHeight="1" x14ac:dyDescent="0.2">
      <c r="A70" s="35">
        <v>62</v>
      </c>
      <c r="B70" s="36">
        <v>46318</v>
      </c>
      <c r="C70" s="35" t="str">
        <f>TEXT(B70,"dddd")</f>
        <v>Friday</v>
      </c>
      <c r="D70" s="35" t="s">
        <v>88</v>
      </c>
      <c r="E70" s="4"/>
      <c r="F70" s="35" t="s">
        <v>154</v>
      </c>
      <c r="G70" s="35" t="s">
        <v>157</v>
      </c>
      <c r="H70" s="35" t="s">
        <v>158</v>
      </c>
      <c r="I70" s="35" t="str">
        <f>IF('Quarter-Finals'!$B$5="","TBD",IFERROR(INDEX('Groups A-H'!$C$5:$C$58,MATCH('Quarter-Finals'!$B$5,'Groups A-H'!$B$5:$B$58,0)),'Quarter-Finals'!$B$5))</f>
        <v>TBD</v>
      </c>
      <c r="J70" s="35" t="str">
        <f>IF('Quarter-Finals'!$C$5="","TBD",IFERROR(INDEX('Groups A-H'!$C$5:$C$58,MATCH('Quarter-Finals'!$C$5,'Groups A-H'!$B$5:$B$58,0)),'Quarter-Finals'!$C$5))</f>
        <v>TBD</v>
      </c>
      <c r="K70" s="37"/>
    </row>
    <row r="71" spans="1:11" ht="33" customHeight="1" x14ac:dyDescent="0.2">
      <c r="A71" s="35">
        <v>63</v>
      </c>
      <c r="B71" s="36">
        <v>46320</v>
      </c>
      <c r="C71" s="35" t="str">
        <f>TEXT(B71,"dddd")</f>
        <v>Sunday</v>
      </c>
      <c r="D71" s="35" t="s">
        <v>84</v>
      </c>
      <c r="E71" s="4"/>
      <c r="F71" s="35" t="s">
        <v>154</v>
      </c>
      <c r="G71" s="35" t="s">
        <v>159</v>
      </c>
      <c r="H71" s="35" t="s">
        <v>160</v>
      </c>
      <c r="I71" s="35" t="str">
        <f>IF('Quarter-Finals'!$B$6="","TBD",IFERROR(INDEX('Groups A-H'!$C$5:$C$58,MATCH('Quarter-Finals'!$B$6,'Groups A-H'!$B$5:$B$58,0)),'Quarter-Finals'!$B$6))</f>
        <v>TBD</v>
      </c>
      <c r="J71" s="35" t="str">
        <f>IF('Quarter-Finals'!$C$6="","TBD",IFERROR(INDEX('Groups A-H'!$C$5:$C$58,MATCH('Quarter-Finals'!$C$6,'Groups A-H'!$B$5:$B$58,0)),'Quarter-Finals'!$C$6))</f>
        <v>TBD</v>
      </c>
      <c r="K71" s="37"/>
    </row>
    <row r="72" spans="1:11" ht="33" customHeight="1" x14ac:dyDescent="0.2">
      <c r="A72" s="35">
        <v>64</v>
      </c>
      <c r="B72" s="36">
        <v>46320</v>
      </c>
      <c r="C72" s="35" t="str">
        <f>TEXT(B72,"dddd")</f>
        <v>Sunday</v>
      </c>
      <c r="D72" s="35" t="s">
        <v>88</v>
      </c>
      <c r="E72" s="4"/>
      <c r="F72" s="35" t="s">
        <v>154</v>
      </c>
      <c r="G72" s="35" t="s">
        <v>161</v>
      </c>
      <c r="H72" s="35" t="s">
        <v>162</v>
      </c>
      <c r="I72" s="35" t="str">
        <f>IF('Quarter-Finals'!$B$7="","TBD",IFERROR(INDEX('Groups A-H'!$C$5:$C$58,MATCH('Quarter-Finals'!$B$7,'Groups A-H'!$B$5:$B$58,0)),'Quarter-Finals'!$B$7))</f>
        <v>TBD</v>
      </c>
      <c r="J72" s="35" t="str">
        <f>IF('Quarter-Finals'!$C$7="","TBD",IFERROR(INDEX('Groups A-H'!$C$5:$C$58,MATCH('Quarter-Finals'!$C$7,'Groups A-H'!$B$5:$B$58,0)),'Quarter-Finals'!$C$7))</f>
        <v>TBD</v>
      </c>
      <c r="K72" s="37"/>
    </row>
    <row r="73" spans="1:11" ht="33" customHeight="1" x14ac:dyDescent="0.2">
      <c r="A73" s="38"/>
      <c r="B73" s="39">
        <v>46321</v>
      </c>
      <c r="C73" s="3" t="str">
        <f>TEXT(B73,"dddd")&amp;"  -  REST DAY - after Quarter-Finals (no match)"</f>
        <v>Monday  -  REST DAY - after Quarter-Finals (no match)</v>
      </c>
      <c r="D73" s="3"/>
      <c r="E73" s="3"/>
      <c r="F73" s="3"/>
      <c r="G73" s="3"/>
      <c r="H73" s="3"/>
      <c r="I73" s="3"/>
      <c r="J73" s="3"/>
      <c r="K73" s="3"/>
    </row>
    <row r="74" spans="1:11" ht="33" customHeight="1" x14ac:dyDescent="0.2">
      <c r="A74" s="6" t="s">
        <v>163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ht="33" customHeight="1" x14ac:dyDescent="0.2">
      <c r="A75" s="35">
        <v>65</v>
      </c>
      <c r="B75" s="36">
        <v>46322</v>
      </c>
      <c r="C75" s="35" t="str">
        <f>TEXT(B75,"dddd")</f>
        <v>Tuesday</v>
      </c>
      <c r="D75" s="35" t="s">
        <v>84</v>
      </c>
      <c r="E75" s="4" t="s">
        <v>164</v>
      </c>
      <c r="F75" s="35" t="s">
        <v>154</v>
      </c>
      <c r="G75" s="35" t="s">
        <v>165</v>
      </c>
      <c r="H75" s="35" t="s">
        <v>166</v>
      </c>
      <c r="I75" s="35" t="str">
        <f>IF('Semi-Finals'!$B$4="","TBD",IFERROR(INDEX('Groups A-H'!$C$5:$C$58,MATCH('Semi-Finals'!$B$4,'Groups A-H'!$B$5:$B$58,0)),'Semi-Finals'!$B$4))</f>
        <v>TBD</v>
      </c>
      <c r="J75" s="35" t="str">
        <f>IF('Semi-Finals'!$C$4="","TBD",IFERROR(INDEX('Groups A-H'!$C$5:$C$58,MATCH('Semi-Finals'!$C$4,'Groups A-H'!$B$5:$B$58,0)),'Semi-Finals'!$C$4))</f>
        <v>TBD</v>
      </c>
      <c r="K75" s="37"/>
    </row>
    <row r="76" spans="1:11" ht="33" customHeight="1" x14ac:dyDescent="0.2">
      <c r="A76" s="35">
        <v>66</v>
      </c>
      <c r="B76" s="36">
        <v>46323</v>
      </c>
      <c r="C76" s="35" t="str">
        <f>TEXT(B76,"dddd")</f>
        <v>Wednesday</v>
      </c>
      <c r="D76" s="35" t="s">
        <v>84</v>
      </c>
      <c r="E76" s="4"/>
      <c r="F76" s="35" t="s">
        <v>154</v>
      </c>
      <c r="G76" s="35" t="s">
        <v>167</v>
      </c>
      <c r="H76" s="35" t="s">
        <v>168</v>
      </c>
      <c r="I76" s="35" t="str">
        <f>IF('Semi-Finals'!$B$5="","TBD",IFERROR(INDEX('Groups A-H'!$C$5:$C$58,MATCH('Semi-Finals'!$B$5,'Groups A-H'!$B$5:$B$58,0)),'Semi-Finals'!$B$5))</f>
        <v>TBD</v>
      </c>
      <c r="J76" s="35" t="str">
        <f>IF('Semi-Finals'!$C$5="","TBD",IFERROR(INDEX('Groups A-H'!$C$5:$C$58,MATCH('Semi-Finals'!$C$5,'Groups A-H'!$B$5:$B$58,0)),'Semi-Finals'!$C$5))</f>
        <v>TBD</v>
      </c>
      <c r="K76" s="37"/>
    </row>
    <row r="77" spans="1:11" ht="53" customHeight="1" x14ac:dyDescent="0.2">
      <c r="A77" s="38">
        <v>68</v>
      </c>
      <c r="B77" s="39">
        <v>46325</v>
      </c>
      <c r="C77" s="40" t="str">
        <f>TEXT(B77,"dddd")</f>
        <v>Friday</v>
      </c>
      <c r="D77" s="35" t="s">
        <v>84</v>
      </c>
      <c r="E77" s="35" t="s">
        <v>169</v>
      </c>
      <c r="F77" s="35" t="s">
        <v>154</v>
      </c>
      <c r="G77" s="35" t="s">
        <v>170</v>
      </c>
      <c r="H77" s="35" t="s">
        <v>171</v>
      </c>
      <c r="I77" s="35" t="s">
        <v>172</v>
      </c>
      <c r="J77" s="35" t="s">
        <v>172</v>
      </c>
      <c r="K77" s="35"/>
    </row>
    <row r="78" spans="1:11" ht="33" customHeight="1" x14ac:dyDescent="0.2">
      <c r="A78" s="6" t="s">
        <v>259</v>
      </c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ht="64.5" customHeight="1" x14ac:dyDescent="0.2">
      <c r="A79" s="35">
        <v>67</v>
      </c>
      <c r="B79" s="36">
        <v>46326</v>
      </c>
      <c r="C79" s="35" t="str">
        <f>TEXT(B79,"dddd")</f>
        <v>Saturday</v>
      </c>
      <c r="D79" s="35" t="s">
        <v>84</v>
      </c>
      <c r="E79" s="35" t="s">
        <v>57</v>
      </c>
      <c r="F79" s="35" t="s">
        <v>154</v>
      </c>
      <c r="G79" s="35" t="s">
        <v>173</v>
      </c>
      <c r="H79" s="35" t="s">
        <v>174</v>
      </c>
      <c r="I79" s="35" t="str">
        <f>IF(Final!$B$4="","TBD",IFERROR(INDEX('Groups A-H'!$C$5:$C$58,MATCH(Final!$B$4,'Groups A-H'!$B$5:$B$58,0)),Final!$B$4))</f>
        <v>TBD</v>
      </c>
      <c r="J79" s="35" t="str">
        <f>IF(Final!$C$4="","TBD",IFERROR(INDEX('Groups A-H'!$C$5:$C$58,MATCH(Final!$C$4,'Groups A-H'!$B$5:$B$58,0)),Final!$C$4))</f>
        <v>TBD</v>
      </c>
      <c r="K79" s="37" t="s">
        <v>175</v>
      </c>
    </row>
    <row r="81" spans="1:11" ht="33" customHeight="1" x14ac:dyDescent="0.2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</row>
    <row r="82" spans="1:11" ht="33" customHeight="1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</row>
    <row r="83" spans="1:11" ht="33" customHeight="1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</row>
    <row r="84" spans="1:11" ht="33" customHeight="1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</row>
    <row r="85" spans="1:11" ht="33" customHeight="1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</row>
    <row r="86" spans="1:11" ht="33" customHeight="1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</row>
    <row r="87" spans="1:11" ht="33" customHeight="1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</row>
    <row r="88" spans="1:11" ht="33" customHeight="1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</row>
    <row r="89" spans="1:11" ht="33" customHeight="1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</row>
    <row r="90" spans="1:11" ht="33" customHeight="1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</row>
  </sheetData>
  <mergeCells count="13">
    <mergeCell ref="A74:K74"/>
    <mergeCell ref="E75:E76"/>
    <mergeCell ref="A78:K78"/>
    <mergeCell ref="A59:K59"/>
    <mergeCell ref="E60:E67"/>
    <mergeCell ref="A68:K68"/>
    <mergeCell ref="E69:E72"/>
    <mergeCell ref="C73:K73"/>
    <mergeCell ref="A1:K1"/>
    <mergeCell ref="A2:K2"/>
    <mergeCell ref="A3:K3"/>
    <mergeCell ref="A6:K6"/>
    <mergeCell ref="E7:E58"/>
  </mergeCells>
  <pageMargins left="0.75" right="0.75" top="1" bottom="1" header="0.511811023622047" footer="0.511811023622047"/>
  <pageSetup scale="43" fitToHeight="0" orientation="landscape" horizontalDpi="300" verticalDpi="300"/>
  <rowBreaks count="2" manualBreakCount="2">
    <brk id="32" max="16383" man="1"/>
    <brk id="5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view="pageBreakPreview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8" style="15" customWidth="1"/>
    <col min="2" max="2" width="36" style="15" customWidth="1"/>
    <col min="3" max="3" width="8" style="15" customWidth="1"/>
    <col min="4" max="4" width="9" style="15" customWidth="1"/>
    <col min="5" max="5" width="13" style="15" customWidth="1"/>
    <col min="6" max="6" width="9" style="15" customWidth="1"/>
    <col min="7" max="7" width="13" style="15" customWidth="1"/>
    <col min="8" max="8" width="9" style="15" customWidth="1"/>
    <col min="9" max="9" width="13" style="15" customWidth="1"/>
    <col min="10" max="10" width="9" style="15" customWidth="1"/>
    <col min="11" max="11" width="13" style="15" customWidth="1"/>
    <col min="12" max="12" width="14" style="15" customWidth="1"/>
  </cols>
  <sheetData>
    <row r="1" spans="1:12" ht="25.5" customHeight="1" x14ac:dyDescent="0.2">
      <c r="A1" s="9" t="s">
        <v>176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5" customHeight="1" x14ac:dyDescent="0.2">
      <c r="A2" s="2" t="s">
        <v>177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30" customHeight="1" x14ac:dyDescent="0.2">
      <c r="A4" s="43" t="s">
        <v>178</v>
      </c>
      <c r="B4" s="43" t="s">
        <v>179</v>
      </c>
      <c r="C4" s="43" t="s">
        <v>20</v>
      </c>
      <c r="D4" s="43" t="s">
        <v>180</v>
      </c>
      <c r="E4" s="43" t="s">
        <v>65</v>
      </c>
      <c r="F4" s="43" t="s">
        <v>181</v>
      </c>
      <c r="G4" s="43" t="s">
        <v>65</v>
      </c>
      <c r="H4" s="43" t="s">
        <v>182</v>
      </c>
      <c r="I4" s="43" t="s">
        <v>65</v>
      </c>
      <c r="J4" s="43" t="s">
        <v>183</v>
      </c>
      <c r="K4" s="43" t="s">
        <v>65</v>
      </c>
      <c r="L4" s="43" t="s">
        <v>184</v>
      </c>
    </row>
    <row r="5" spans="1:12" ht="26.25" customHeight="1" x14ac:dyDescent="0.2">
      <c r="A5" s="44" t="s">
        <v>110</v>
      </c>
      <c r="B5" s="45" t="str">
        <f>IFERROR(INDEX('Groups A-H'!$C$5:$C$58,MATCH(A5,'Groups A-H'!$B$5:$B$58,0)),"")</f>
        <v>BBPL (Bhutan Brewary Private Limited)</v>
      </c>
      <c r="C5" s="46" t="s">
        <v>76</v>
      </c>
      <c r="D5" s="46">
        <v>13</v>
      </c>
      <c r="E5" s="47">
        <f>INDEX('Match Schedule'!$B$6:$B$79,MATCH(D5,'Match Schedule'!$A$6:$A$79,0))</f>
        <v>46297</v>
      </c>
      <c r="F5" s="46">
        <v>25</v>
      </c>
      <c r="G5" s="47">
        <f>INDEX('Match Schedule'!$B$6:$B$79,MATCH(F5,'Match Schedule'!$A$6:$A$79,0))</f>
        <v>46302</v>
      </c>
      <c r="H5" s="46">
        <v>37</v>
      </c>
      <c r="I5" s="47">
        <f>INDEX('Match Schedule'!$B$6:$B$79,MATCH(H5,'Match Schedule'!$A$6:$A$79,0))</f>
        <v>46307</v>
      </c>
      <c r="J5" s="46">
        <v>45</v>
      </c>
      <c r="K5" s="47">
        <f>INDEX('Match Schedule'!$B$6:$B$79,MATCH(J5,'Match Schedule'!$A$6:$A$79,0))</f>
        <v>46311</v>
      </c>
      <c r="L5" s="46">
        <f>MIN(G5-E5,I5-G5,K5-I5)-1</f>
        <v>3</v>
      </c>
    </row>
    <row r="6" spans="1:12" ht="15" customHeight="1" x14ac:dyDescent="0.2">
      <c r="A6" s="44" t="s">
        <v>101</v>
      </c>
      <c r="B6" s="45" t="str">
        <f>IFERROR(INDEX('Groups A-H'!$C$5:$C$58,MATCH(A6,'Groups A-H'!$B$5:$B$58,0)),"")</f>
        <v>Pling Taxi</v>
      </c>
      <c r="C6" s="46" t="s">
        <v>76</v>
      </c>
      <c r="D6" s="46">
        <v>9</v>
      </c>
      <c r="E6" s="47">
        <f>INDEX('Match Schedule'!$B$6:$B$79,MATCH(D6,'Match Schedule'!$A$6:$A$79,0))</f>
        <v>46295</v>
      </c>
      <c r="F6" s="46">
        <v>33</v>
      </c>
      <c r="G6" s="47">
        <f>INDEX('Match Schedule'!$B$6:$B$79,MATCH(F6,'Match Schedule'!$A$6:$A$79,0))</f>
        <v>46305</v>
      </c>
      <c r="H6" s="46">
        <v>38</v>
      </c>
      <c r="I6" s="47">
        <f>INDEX('Match Schedule'!$B$6:$B$79,MATCH(H6,'Match Schedule'!$A$6:$A$79,0))</f>
        <v>46307</v>
      </c>
      <c r="J6" s="46">
        <v>45</v>
      </c>
      <c r="K6" s="47">
        <f>INDEX('Match Schedule'!$B$6:$B$79,MATCH(J6,'Match Schedule'!$A$6:$A$79,0))</f>
        <v>46311</v>
      </c>
      <c r="L6" s="46">
        <f>MIN(G6-E6,I6-G6,K6-I6)-1</f>
        <v>1</v>
      </c>
    </row>
    <row r="7" spans="1:12" ht="15" customHeight="1" x14ac:dyDescent="0.2">
      <c r="A7" s="44" t="s">
        <v>77</v>
      </c>
      <c r="B7" s="45" t="str">
        <f>IFERROR(INDEX('Groups A-H'!$C$5:$C$58,MATCH(A7,'Groups A-H'!$B$5:$B$58,0)),"")</f>
        <v>Thromde Sherig</v>
      </c>
      <c r="C7" s="46" t="s">
        <v>76</v>
      </c>
      <c r="D7" s="46">
        <v>1</v>
      </c>
      <c r="E7" s="47">
        <f>INDEX('Match Schedule'!$B$6:$B$79,MATCH(D7,'Match Schedule'!$A$6:$A$79,0))</f>
        <v>46291</v>
      </c>
      <c r="F7" s="46">
        <v>26</v>
      </c>
      <c r="G7" s="47">
        <f>INDEX('Match Schedule'!$B$6:$B$79,MATCH(F7,'Match Schedule'!$A$6:$A$79,0))</f>
        <v>46302</v>
      </c>
      <c r="H7" s="46">
        <v>33</v>
      </c>
      <c r="I7" s="47">
        <f>INDEX('Match Schedule'!$B$6:$B$79,MATCH(H7,'Match Schedule'!$A$6:$A$79,0))</f>
        <v>46305</v>
      </c>
      <c r="J7" s="46">
        <v>37</v>
      </c>
      <c r="K7" s="47">
        <f>INDEX('Match Schedule'!$B$6:$B$79,MATCH(J7,'Match Schedule'!$A$6:$A$79,0))</f>
        <v>46307</v>
      </c>
      <c r="L7" s="46">
        <f>MIN(G7-E7,I7-G7,K7-I7)-1</f>
        <v>1</v>
      </c>
    </row>
    <row r="8" spans="1:12" ht="15" customHeight="1" x14ac:dyDescent="0.2">
      <c r="A8" s="44" t="s">
        <v>78</v>
      </c>
      <c r="B8" s="45" t="str">
        <f>IFERROR(INDEX('Groups A-H'!$C$5:$C$58,MATCH(A8,'Groups A-H'!$B$5:$B$58,0)),"")</f>
        <v>Immigration</v>
      </c>
      <c r="C8" s="46" t="s">
        <v>76</v>
      </c>
      <c r="D8" s="46">
        <v>1</v>
      </c>
      <c r="E8" s="47">
        <f>INDEX('Match Schedule'!$B$6:$B$79,MATCH(D8,'Match Schedule'!$A$6:$A$79,0))</f>
        <v>46291</v>
      </c>
      <c r="F8" s="46">
        <v>25</v>
      </c>
      <c r="G8" s="47">
        <f>INDEX('Match Schedule'!$B$6:$B$79,MATCH(F8,'Match Schedule'!$A$6:$A$79,0))</f>
        <v>46302</v>
      </c>
      <c r="H8" s="46">
        <v>38</v>
      </c>
      <c r="I8" s="47">
        <f>INDEX('Match Schedule'!$B$6:$B$79,MATCH(H8,'Match Schedule'!$A$6:$A$79,0))</f>
        <v>46307</v>
      </c>
      <c r="J8" s="46">
        <v>46</v>
      </c>
      <c r="K8" s="47">
        <f>INDEX('Match Schedule'!$B$6:$B$79,MATCH(J8,'Match Schedule'!$A$6:$A$79,0))</f>
        <v>46311</v>
      </c>
      <c r="L8" s="46">
        <f>MIN(G8-E8,I8-G8,K8-I8)-1</f>
        <v>3</v>
      </c>
    </row>
    <row r="9" spans="1:12" ht="15" customHeight="1" x14ac:dyDescent="0.2">
      <c r="A9" s="44" t="s">
        <v>102</v>
      </c>
      <c r="B9" s="45" t="str">
        <f>IFERROR(INDEX('Groups A-H'!$C$5:$C$58,MATCH(A9,'Groups A-H'!$B$5:$B$58,0)),"")</f>
        <v>BFAL</v>
      </c>
      <c r="C9" s="46" t="s">
        <v>76</v>
      </c>
      <c r="D9" s="46">
        <v>9</v>
      </c>
      <c r="E9" s="47">
        <f>INDEX('Match Schedule'!$B$6:$B$79,MATCH(D9,'Match Schedule'!$A$6:$A$79,0))</f>
        <v>46295</v>
      </c>
      <c r="F9" s="46">
        <v>13</v>
      </c>
      <c r="G9" s="47">
        <f>INDEX('Match Schedule'!$B$6:$B$79,MATCH(F9,'Match Schedule'!$A$6:$A$79,0))</f>
        <v>46297</v>
      </c>
      <c r="H9" s="46">
        <v>26</v>
      </c>
      <c r="I9" s="47">
        <f>INDEX('Match Schedule'!$B$6:$B$79,MATCH(H9,'Match Schedule'!$A$6:$A$79,0))</f>
        <v>46302</v>
      </c>
      <c r="J9" s="46">
        <v>46</v>
      </c>
      <c r="K9" s="47">
        <f>INDEX('Match Schedule'!$B$6:$B$79,MATCH(J9,'Match Schedule'!$A$6:$A$79,0))</f>
        <v>46311</v>
      </c>
      <c r="L9" s="46">
        <f>MIN(G9-E9,I9-G9,K9-I9)-1</f>
        <v>1</v>
      </c>
    </row>
    <row r="10" spans="1:12" ht="15" customHeight="1" x14ac:dyDescent="0.2">
      <c r="A10" s="48" t="s">
        <v>97</v>
      </c>
      <c r="B10" s="49" t="str">
        <f>IFERROR(INDEX('Groups A-H'!$C$5:$C$58,MATCH(A10,'Groups A-H'!$B$5:$B$58,0)),"")</f>
        <v>BPC</v>
      </c>
      <c r="C10" s="50" t="s">
        <v>89</v>
      </c>
      <c r="D10" s="50">
        <v>7</v>
      </c>
      <c r="E10" s="51">
        <f>INDEX('Match Schedule'!$B$6:$B$79,MATCH(D10,'Match Schedule'!$A$6:$A$79,0))</f>
        <v>46294</v>
      </c>
      <c r="F10" s="50">
        <v>15</v>
      </c>
      <c r="G10" s="51">
        <f>INDEX('Match Schedule'!$B$6:$B$79,MATCH(F10,'Match Schedule'!$A$6:$A$79,0))</f>
        <v>46298</v>
      </c>
      <c r="H10" s="50">
        <v>29</v>
      </c>
      <c r="I10" s="51">
        <f>INDEX('Match Schedule'!$B$6:$B$79,MATCH(H10,'Match Schedule'!$A$6:$A$79,0))</f>
        <v>46304</v>
      </c>
      <c r="J10" s="50"/>
      <c r="K10" s="50"/>
      <c r="L10" s="50">
        <f t="shared" ref="L10:L37" si="0">MIN(G10-E10,I10-G10)-1</f>
        <v>3</v>
      </c>
    </row>
    <row r="11" spans="1:12" ht="15" customHeight="1" x14ac:dyDescent="0.2">
      <c r="A11" s="48" t="s">
        <v>90</v>
      </c>
      <c r="B11" s="49" t="str">
        <f>IFERROR(INDEX('Groups A-H'!$C$5:$C$58,MATCH(A11,'Groups A-H'!$B$5:$B$58,0)),"")</f>
        <v>Zimdra FC</v>
      </c>
      <c r="C11" s="50" t="s">
        <v>89</v>
      </c>
      <c r="D11" s="50">
        <v>4</v>
      </c>
      <c r="E11" s="51">
        <f>INDEX('Match Schedule'!$B$6:$B$79,MATCH(D11,'Match Schedule'!$A$6:$A$79,0))</f>
        <v>46292</v>
      </c>
      <c r="F11" s="50">
        <v>16</v>
      </c>
      <c r="G11" s="51">
        <f>INDEX('Match Schedule'!$B$6:$B$79,MATCH(F11,'Match Schedule'!$A$6:$A$79,0))</f>
        <v>46298</v>
      </c>
      <c r="H11" s="50">
        <v>29</v>
      </c>
      <c r="I11" s="51">
        <f>INDEX('Match Schedule'!$B$6:$B$79,MATCH(H11,'Match Schedule'!$A$6:$A$79,0))</f>
        <v>46304</v>
      </c>
      <c r="J11" s="50"/>
      <c r="K11" s="50"/>
      <c r="L11" s="50">
        <f t="shared" si="0"/>
        <v>5</v>
      </c>
    </row>
    <row r="12" spans="1:12" ht="15" customHeight="1" x14ac:dyDescent="0.2">
      <c r="A12" s="48" t="s">
        <v>91</v>
      </c>
      <c r="B12" s="49" t="str">
        <f>IFERROR(INDEX('Groups A-H'!$C$5:$C$58,MATCH(A12,'Groups A-H'!$B$5:$B$58,0)),"")</f>
        <v>ICP, Phuentsholing</v>
      </c>
      <c r="C12" s="50" t="s">
        <v>89</v>
      </c>
      <c r="D12" s="50">
        <v>4</v>
      </c>
      <c r="E12" s="51">
        <f>INDEX('Match Schedule'!$B$6:$B$79,MATCH(D12,'Match Schedule'!$A$6:$A$79,0))</f>
        <v>46292</v>
      </c>
      <c r="F12" s="50">
        <v>15</v>
      </c>
      <c r="G12" s="51">
        <f>INDEX('Match Schedule'!$B$6:$B$79,MATCH(F12,'Match Schedule'!$A$6:$A$79,0))</f>
        <v>46298</v>
      </c>
      <c r="H12" s="50">
        <v>30</v>
      </c>
      <c r="I12" s="51">
        <f>INDEX('Match Schedule'!$B$6:$B$79,MATCH(H12,'Match Schedule'!$A$6:$A$79,0))</f>
        <v>46304</v>
      </c>
      <c r="J12" s="50"/>
      <c r="K12" s="50"/>
      <c r="L12" s="50">
        <f t="shared" si="0"/>
        <v>5</v>
      </c>
    </row>
    <row r="13" spans="1:12" ht="15" customHeight="1" x14ac:dyDescent="0.2">
      <c r="A13" s="48" t="s">
        <v>98</v>
      </c>
      <c r="B13" s="49" t="str">
        <f>IFERROR(INDEX('Groups A-H'!$C$5:$C$58,MATCH(A13,'Groups A-H'!$B$5:$B$58,0)),"")</f>
        <v>CST Kangtsey</v>
      </c>
      <c r="C13" s="50" t="s">
        <v>89</v>
      </c>
      <c r="D13" s="50">
        <v>7</v>
      </c>
      <c r="E13" s="51">
        <f>INDEX('Match Schedule'!$B$6:$B$79,MATCH(D13,'Match Schedule'!$A$6:$A$79,0))</f>
        <v>46294</v>
      </c>
      <c r="F13" s="50">
        <v>16</v>
      </c>
      <c r="G13" s="51">
        <f>INDEX('Match Schedule'!$B$6:$B$79,MATCH(F13,'Match Schedule'!$A$6:$A$79,0))</f>
        <v>46298</v>
      </c>
      <c r="H13" s="50">
        <v>30</v>
      </c>
      <c r="I13" s="51">
        <f>INDEX('Match Schedule'!$B$6:$B$79,MATCH(H13,'Match Schedule'!$A$6:$A$79,0))</f>
        <v>46304</v>
      </c>
      <c r="J13" s="50"/>
      <c r="K13" s="50"/>
      <c r="L13" s="50">
        <f t="shared" si="0"/>
        <v>3</v>
      </c>
    </row>
    <row r="14" spans="1:12" ht="15" customHeight="1" x14ac:dyDescent="0.2">
      <c r="A14" s="44" t="s">
        <v>106</v>
      </c>
      <c r="B14" s="45" t="str">
        <f>IFERROR(INDEX('Groups A-H'!$C$5:$C$58,MATCH(A14,'Groups A-H'!$B$5:$B$58,0)),"")</f>
        <v>BCCL</v>
      </c>
      <c r="C14" s="46" t="s">
        <v>105</v>
      </c>
      <c r="D14" s="46">
        <v>11</v>
      </c>
      <c r="E14" s="47">
        <f>INDEX('Match Schedule'!$B$6:$B$79,MATCH(D14,'Match Schedule'!$A$6:$A$79,0))</f>
        <v>46296</v>
      </c>
      <c r="F14" s="46">
        <v>31</v>
      </c>
      <c r="G14" s="47">
        <f>INDEX('Match Schedule'!$B$6:$B$79,MATCH(F14,'Match Schedule'!$A$6:$A$79,0))</f>
        <v>46305</v>
      </c>
      <c r="H14" s="46">
        <v>43</v>
      </c>
      <c r="I14" s="47">
        <f>INDEX('Match Schedule'!$B$6:$B$79,MATCH(H14,'Match Schedule'!$A$6:$A$79,0))</f>
        <v>46310</v>
      </c>
      <c r="J14" s="46"/>
      <c r="K14" s="46"/>
      <c r="L14" s="46">
        <f t="shared" si="0"/>
        <v>4</v>
      </c>
    </row>
    <row r="15" spans="1:12" ht="15" customHeight="1" x14ac:dyDescent="0.2">
      <c r="A15" s="44" t="s">
        <v>108</v>
      </c>
      <c r="B15" s="45" t="str">
        <f>IFERROR(INDEX('Groups A-H'!$C$5:$C$58,MATCH(A15,'Groups A-H'!$B$5:$B$58,0)),"")</f>
        <v>GCBS</v>
      </c>
      <c r="C15" s="46" t="s">
        <v>105</v>
      </c>
      <c r="D15" s="46">
        <v>12</v>
      </c>
      <c r="E15" s="47">
        <f>INDEX('Match Schedule'!$B$6:$B$79,MATCH(D15,'Match Schedule'!$A$6:$A$79,0))</f>
        <v>46296</v>
      </c>
      <c r="F15" s="46">
        <v>32</v>
      </c>
      <c r="G15" s="47">
        <f>INDEX('Match Schedule'!$B$6:$B$79,MATCH(F15,'Match Schedule'!$A$6:$A$79,0))</f>
        <v>46305</v>
      </c>
      <c r="H15" s="46">
        <v>43</v>
      </c>
      <c r="I15" s="47">
        <f>INDEX('Match Schedule'!$B$6:$B$79,MATCH(H15,'Match Schedule'!$A$6:$A$79,0))</f>
        <v>46310</v>
      </c>
      <c r="J15" s="46"/>
      <c r="K15" s="46"/>
      <c r="L15" s="46">
        <f t="shared" si="0"/>
        <v>4</v>
      </c>
    </row>
    <row r="16" spans="1:12" ht="15" customHeight="1" x14ac:dyDescent="0.2">
      <c r="A16" s="44" t="s">
        <v>109</v>
      </c>
      <c r="B16" s="45" t="str">
        <f>IFERROR(INDEX('Groups A-H'!$C$5:$C$58,MATCH(A16,'Groups A-H'!$B$5:$B$58,0)),"")</f>
        <v>Pling Hospital</v>
      </c>
      <c r="C16" s="46" t="s">
        <v>105</v>
      </c>
      <c r="D16" s="46">
        <v>12</v>
      </c>
      <c r="E16" s="47">
        <f>INDEX('Match Schedule'!$B$6:$B$79,MATCH(D16,'Match Schedule'!$A$6:$A$79,0))</f>
        <v>46296</v>
      </c>
      <c r="F16" s="46">
        <v>31</v>
      </c>
      <c r="G16" s="47">
        <f>INDEX('Match Schedule'!$B$6:$B$79,MATCH(F16,'Match Schedule'!$A$6:$A$79,0))</f>
        <v>46305</v>
      </c>
      <c r="H16" s="46">
        <v>44</v>
      </c>
      <c r="I16" s="47">
        <f>INDEX('Match Schedule'!$B$6:$B$79,MATCH(H16,'Match Schedule'!$A$6:$A$79,0))</f>
        <v>46310</v>
      </c>
      <c r="J16" s="46"/>
      <c r="K16" s="46"/>
      <c r="L16" s="46">
        <f t="shared" si="0"/>
        <v>4</v>
      </c>
    </row>
    <row r="17" spans="1:12" ht="15" customHeight="1" x14ac:dyDescent="0.2">
      <c r="A17" s="44" t="s">
        <v>107</v>
      </c>
      <c r="B17" s="45" t="str">
        <f>IFERROR(INDEX('Groups A-H'!$C$5:$C$58,MATCH(A17,'Groups A-H'!$B$5:$B$58,0)),"")</f>
        <v>STCBL</v>
      </c>
      <c r="C17" s="46" t="s">
        <v>105</v>
      </c>
      <c r="D17" s="46">
        <v>11</v>
      </c>
      <c r="E17" s="47">
        <f>INDEX('Match Schedule'!$B$6:$B$79,MATCH(D17,'Match Schedule'!$A$6:$A$79,0))</f>
        <v>46296</v>
      </c>
      <c r="F17" s="46">
        <v>32</v>
      </c>
      <c r="G17" s="47">
        <f>INDEX('Match Schedule'!$B$6:$B$79,MATCH(F17,'Match Schedule'!$A$6:$A$79,0))</f>
        <v>46305</v>
      </c>
      <c r="H17" s="46">
        <v>44</v>
      </c>
      <c r="I17" s="47">
        <f>INDEX('Match Schedule'!$B$6:$B$79,MATCH(H17,'Match Schedule'!$A$6:$A$79,0))</f>
        <v>46310</v>
      </c>
      <c r="J17" s="46"/>
      <c r="K17" s="46"/>
      <c r="L17" s="46">
        <f t="shared" si="0"/>
        <v>4</v>
      </c>
    </row>
    <row r="18" spans="1:12" ht="15" customHeight="1" x14ac:dyDescent="0.2">
      <c r="A18" s="48" t="s">
        <v>82</v>
      </c>
      <c r="B18" s="49" t="str">
        <f>IFERROR(INDEX('Groups A-H'!$C$5:$C$58,MATCH(A18,'Groups A-H'!$B$5:$B$58,0)),"")</f>
        <v>FI FC</v>
      </c>
      <c r="C18" s="50" t="s">
        <v>81</v>
      </c>
      <c r="D18" s="50">
        <v>2</v>
      </c>
      <c r="E18" s="51">
        <f>INDEX('Match Schedule'!$B$6:$B$79,MATCH(D18,'Match Schedule'!$A$6:$A$79,0))</f>
        <v>46292</v>
      </c>
      <c r="F18" s="50">
        <v>18</v>
      </c>
      <c r="G18" s="51">
        <f>INDEX('Match Schedule'!$B$6:$B$79,MATCH(F18,'Match Schedule'!$A$6:$A$79,0))</f>
        <v>46299</v>
      </c>
      <c r="H18" s="50">
        <v>41</v>
      </c>
      <c r="I18" s="51">
        <f>INDEX('Match Schedule'!$B$6:$B$79,MATCH(H18,'Match Schedule'!$A$6:$A$79,0))</f>
        <v>46309</v>
      </c>
      <c r="J18" s="50"/>
      <c r="K18" s="50"/>
      <c r="L18" s="50">
        <f t="shared" si="0"/>
        <v>6</v>
      </c>
    </row>
    <row r="19" spans="1:12" ht="15" customHeight="1" x14ac:dyDescent="0.2">
      <c r="A19" s="48" t="s">
        <v>95</v>
      </c>
      <c r="B19" s="49" t="str">
        <f>IFERROR(INDEX('Groups A-H'!$C$5:$C$58,MATCH(A19,'Groups A-H'!$B$5:$B$58,0)),"")</f>
        <v>570 MW</v>
      </c>
      <c r="C19" s="50" t="s">
        <v>81</v>
      </c>
      <c r="D19" s="50">
        <v>6</v>
      </c>
      <c r="E19" s="51">
        <f>INDEX('Match Schedule'!$B$6:$B$79,MATCH(D19,'Match Schedule'!$A$6:$A$79,0))</f>
        <v>46293</v>
      </c>
      <c r="F19" s="50">
        <v>19</v>
      </c>
      <c r="G19" s="51">
        <f>INDEX('Match Schedule'!$B$6:$B$79,MATCH(F19,'Match Schedule'!$A$6:$A$79,0))</f>
        <v>46299</v>
      </c>
      <c r="H19" s="50">
        <v>41</v>
      </c>
      <c r="I19" s="51">
        <f>INDEX('Match Schedule'!$B$6:$B$79,MATCH(H19,'Match Schedule'!$A$6:$A$79,0))</f>
        <v>46309</v>
      </c>
      <c r="J19" s="50"/>
      <c r="K19" s="50"/>
      <c r="L19" s="50">
        <f t="shared" si="0"/>
        <v>5</v>
      </c>
    </row>
    <row r="20" spans="1:12" ht="15" customHeight="1" x14ac:dyDescent="0.2">
      <c r="A20" s="48" t="s">
        <v>96</v>
      </c>
      <c r="B20" s="49" t="str">
        <f>IFERROR(INDEX('Groups A-H'!$C$5:$C$58,MATCH(A20,'Groups A-H'!$B$5:$B$58,0)),"")</f>
        <v>TCC</v>
      </c>
      <c r="C20" s="50" t="s">
        <v>81</v>
      </c>
      <c r="D20" s="50">
        <v>6</v>
      </c>
      <c r="E20" s="51">
        <f>INDEX('Match Schedule'!$B$6:$B$79,MATCH(D20,'Match Schedule'!$A$6:$A$79,0))</f>
        <v>46293</v>
      </c>
      <c r="F20" s="50">
        <v>18</v>
      </c>
      <c r="G20" s="51">
        <f>INDEX('Match Schedule'!$B$6:$B$79,MATCH(F20,'Match Schedule'!$A$6:$A$79,0))</f>
        <v>46299</v>
      </c>
      <c r="H20" s="50">
        <v>42</v>
      </c>
      <c r="I20" s="51">
        <f>INDEX('Match Schedule'!$B$6:$B$79,MATCH(H20,'Match Schedule'!$A$6:$A$79,0))</f>
        <v>46309</v>
      </c>
      <c r="J20" s="50"/>
      <c r="K20" s="50"/>
      <c r="L20" s="50">
        <f t="shared" si="0"/>
        <v>5</v>
      </c>
    </row>
    <row r="21" spans="1:12" ht="15" customHeight="1" x14ac:dyDescent="0.2">
      <c r="A21" s="48" t="s">
        <v>83</v>
      </c>
      <c r="B21" s="49" t="str">
        <f>IFERROR(INDEX('Groups A-H'!$C$5:$C$58,MATCH(A21,'Groups A-H'!$B$5:$B$58,0)),"")</f>
        <v>Druk Larjung</v>
      </c>
      <c r="C21" s="50" t="s">
        <v>81</v>
      </c>
      <c r="D21" s="50">
        <v>2</v>
      </c>
      <c r="E21" s="51">
        <f>INDEX('Match Schedule'!$B$6:$B$79,MATCH(D21,'Match Schedule'!$A$6:$A$79,0))</f>
        <v>46292</v>
      </c>
      <c r="F21" s="50">
        <v>19</v>
      </c>
      <c r="G21" s="51">
        <f>INDEX('Match Schedule'!$B$6:$B$79,MATCH(F21,'Match Schedule'!$A$6:$A$79,0))</f>
        <v>46299</v>
      </c>
      <c r="H21" s="50">
        <v>42</v>
      </c>
      <c r="I21" s="51">
        <f>INDEX('Match Schedule'!$B$6:$B$79,MATCH(H21,'Match Schedule'!$A$6:$A$79,0))</f>
        <v>46309</v>
      </c>
      <c r="J21" s="50"/>
      <c r="K21" s="50"/>
      <c r="L21" s="50">
        <f t="shared" si="0"/>
        <v>6</v>
      </c>
    </row>
    <row r="22" spans="1:12" ht="15" customHeight="1" x14ac:dyDescent="0.2">
      <c r="A22" s="44" t="s">
        <v>114</v>
      </c>
      <c r="B22" s="45" t="str">
        <f>IFERROR(INDEX('Groups A-H'!$C$5:$C$58,MATCH(A22,'Groups A-H'!$B$5:$B$58,0)),"")</f>
        <v>MDP FC</v>
      </c>
      <c r="C22" s="46" t="s">
        <v>111</v>
      </c>
      <c r="D22" s="46">
        <v>20</v>
      </c>
      <c r="E22" s="47">
        <f>INDEX('Match Schedule'!$B$6:$B$79,MATCH(D22,'Match Schedule'!$A$6:$A$79,0))</f>
        <v>46299</v>
      </c>
      <c r="F22" s="46">
        <v>34</v>
      </c>
      <c r="G22" s="47">
        <f>INDEX('Match Schedule'!$B$6:$B$79,MATCH(F22,'Match Schedule'!$A$6:$A$79,0))</f>
        <v>46306</v>
      </c>
      <c r="H22" s="46">
        <v>39</v>
      </c>
      <c r="I22" s="47">
        <f>INDEX('Match Schedule'!$B$6:$B$79,MATCH(H22,'Match Schedule'!$A$6:$A$79,0))</f>
        <v>46308</v>
      </c>
      <c r="J22" s="46"/>
      <c r="K22" s="46"/>
      <c r="L22" s="46">
        <f t="shared" si="0"/>
        <v>1</v>
      </c>
    </row>
    <row r="23" spans="1:12" ht="15" customHeight="1" x14ac:dyDescent="0.2">
      <c r="A23" s="44" t="s">
        <v>112</v>
      </c>
      <c r="B23" s="45" t="str">
        <f>IFERROR(INDEX('Groups A-H'!$C$5:$C$58,MATCH(A23,'Groups A-H'!$B$5:$B$58,0)),"")</f>
        <v>CST United</v>
      </c>
      <c r="C23" s="46" t="s">
        <v>111</v>
      </c>
      <c r="D23" s="46">
        <v>17</v>
      </c>
      <c r="E23" s="47">
        <f>INDEX('Match Schedule'!$B$6:$B$79,MATCH(D23,'Match Schedule'!$A$6:$A$79,0))</f>
        <v>46298</v>
      </c>
      <c r="F23" s="46">
        <v>27</v>
      </c>
      <c r="G23" s="47">
        <f>INDEX('Match Schedule'!$B$6:$B$79,MATCH(F23,'Match Schedule'!$A$6:$A$79,0))</f>
        <v>46303</v>
      </c>
      <c r="H23" s="46">
        <v>39</v>
      </c>
      <c r="I23" s="47">
        <f>INDEX('Match Schedule'!$B$6:$B$79,MATCH(H23,'Match Schedule'!$A$6:$A$79,0))</f>
        <v>46308</v>
      </c>
      <c r="J23" s="46"/>
      <c r="K23" s="46"/>
      <c r="L23" s="46">
        <f t="shared" si="0"/>
        <v>4</v>
      </c>
    </row>
    <row r="24" spans="1:12" ht="15" customHeight="1" x14ac:dyDescent="0.2">
      <c r="A24" s="44" t="s">
        <v>113</v>
      </c>
      <c r="B24" s="45" t="str">
        <f>IFERROR(INDEX('Groups A-H'!$C$5:$C$58,MATCH(A24,'Groups A-H'!$B$5:$B$58,0)),"")</f>
        <v>Pelden Warriors</v>
      </c>
      <c r="C24" s="46" t="s">
        <v>111</v>
      </c>
      <c r="D24" s="46">
        <v>17</v>
      </c>
      <c r="E24" s="47">
        <f>INDEX('Match Schedule'!$B$6:$B$79,MATCH(D24,'Match Schedule'!$A$6:$A$79,0))</f>
        <v>46298</v>
      </c>
      <c r="F24" s="46">
        <v>34</v>
      </c>
      <c r="G24" s="47">
        <f>INDEX('Match Schedule'!$B$6:$B$79,MATCH(F24,'Match Schedule'!$A$6:$A$79,0))</f>
        <v>46306</v>
      </c>
      <c r="H24" s="46">
        <v>51</v>
      </c>
      <c r="I24" s="47">
        <f>INDEX('Match Schedule'!$B$6:$B$79,MATCH(H24,'Match Schedule'!$A$6:$A$79,0))</f>
        <v>46313</v>
      </c>
      <c r="J24" s="46"/>
      <c r="K24" s="46"/>
      <c r="L24" s="46">
        <f t="shared" si="0"/>
        <v>6</v>
      </c>
    </row>
    <row r="25" spans="1:12" ht="15" customHeight="1" x14ac:dyDescent="0.2">
      <c r="A25" s="44" t="s">
        <v>115</v>
      </c>
      <c r="B25" s="45" t="str">
        <f>IFERROR(INDEX('Groups A-H'!$C$5:$C$58,MATCH(A25,'Groups A-H'!$B$5:$B$58,0)),"")</f>
        <v>FCB</v>
      </c>
      <c r="C25" s="46" t="s">
        <v>111</v>
      </c>
      <c r="D25" s="46">
        <v>20</v>
      </c>
      <c r="E25" s="47">
        <f>INDEX('Match Schedule'!$B$6:$B$79,MATCH(D25,'Match Schedule'!$A$6:$A$79,0))</f>
        <v>46299</v>
      </c>
      <c r="F25" s="46">
        <v>27</v>
      </c>
      <c r="G25" s="47">
        <f>INDEX('Match Schedule'!$B$6:$B$79,MATCH(F25,'Match Schedule'!$A$6:$A$79,0))</f>
        <v>46303</v>
      </c>
      <c r="H25" s="46">
        <v>51</v>
      </c>
      <c r="I25" s="47">
        <f>INDEX('Match Schedule'!$B$6:$B$79,MATCH(H25,'Match Schedule'!$A$6:$A$79,0))</f>
        <v>46313</v>
      </c>
      <c r="J25" s="46"/>
      <c r="K25" s="46"/>
      <c r="L25" s="46">
        <f t="shared" si="0"/>
        <v>3</v>
      </c>
    </row>
    <row r="26" spans="1:12" ht="15" customHeight="1" x14ac:dyDescent="0.2">
      <c r="A26" s="48" t="s">
        <v>93</v>
      </c>
      <c r="B26" s="49" t="str">
        <f>IFERROR(INDEX('Groups A-H'!$C$5:$C$58,MATCH(A26,'Groups A-H'!$B$5:$B$58,0)),"")</f>
        <v>BSMPL</v>
      </c>
      <c r="C26" s="50" t="s">
        <v>92</v>
      </c>
      <c r="D26" s="50">
        <v>5</v>
      </c>
      <c r="E26" s="51">
        <f>INDEX('Match Schedule'!$B$6:$B$79,MATCH(D26,'Match Schedule'!$A$6:$A$79,0))</f>
        <v>46293</v>
      </c>
      <c r="F26" s="50">
        <v>23</v>
      </c>
      <c r="G26" s="51">
        <f>INDEX('Match Schedule'!$B$6:$B$79,MATCH(F26,'Match Schedule'!$A$6:$A$79,0))</f>
        <v>46301</v>
      </c>
      <c r="H26" s="50">
        <v>50</v>
      </c>
      <c r="I26" s="51">
        <f>INDEX('Match Schedule'!$B$6:$B$79,MATCH(H26,'Match Schedule'!$A$6:$A$79,0))</f>
        <v>46313</v>
      </c>
      <c r="J26" s="50"/>
      <c r="K26" s="50"/>
      <c r="L26" s="50">
        <f t="shared" si="0"/>
        <v>7</v>
      </c>
    </row>
    <row r="27" spans="1:12" ht="15" customHeight="1" x14ac:dyDescent="0.2">
      <c r="A27" s="48" t="s">
        <v>103</v>
      </c>
      <c r="B27" s="49" t="str">
        <f>IFERROR(INDEX('Groups A-H'!$C$5:$C$58,MATCH(A27,'Groups A-H'!$B$5:$B$58,0)),"")</f>
        <v>OG United</v>
      </c>
      <c r="C27" s="50" t="s">
        <v>92</v>
      </c>
      <c r="D27" s="50">
        <v>10</v>
      </c>
      <c r="E27" s="51">
        <f>INDEX('Match Schedule'!$B$6:$B$79,MATCH(D27,'Match Schedule'!$A$6:$A$79,0))</f>
        <v>46295</v>
      </c>
      <c r="F27" s="50">
        <v>24</v>
      </c>
      <c r="G27" s="51">
        <f>INDEX('Match Schedule'!$B$6:$B$79,MATCH(F27,'Match Schedule'!$A$6:$A$79,0))</f>
        <v>46301</v>
      </c>
      <c r="H27" s="50">
        <v>50</v>
      </c>
      <c r="I27" s="51">
        <f>INDEX('Match Schedule'!$B$6:$B$79,MATCH(H27,'Match Schedule'!$A$6:$A$79,0))</f>
        <v>46313</v>
      </c>
      <c r="J27" s="50"/>
      <c r="K27" s="50"/>
      <c r="L27" s="50">
        <f t="shared" si="0"/>
        <v>5</v>
      </c>
    </row>
    <row r="28" spans="1:12" ht="15" customHeight="1" x14ac:dyDescent="0.2">
      <c r="A28" s="48" t="s">
        <v>104</v>
      </c>
      <c r="B28" s="49" t="str">
        <f>IFERROR(INDEX('Groups A-H'!$C$5:$C$58,MATCH(A28,'Groups A-H'!$B$5:$B$58,0)),"")</f>
        <v>DFAL</v>
      </c>
      <c r="C28" s="50" t="s">
        <v>92</v>
      </c>
      <c r="D28" s="50">
        <v>10</v>
      </c>
      <c r="E28" s="51">
        <f>INDEX('Match Schedule'!$B$6:$B$79,MATCH(D28,'Match Schedule'!$A$6:$A$79,0))</f>
        <v>46295</v>
      </c>
      <c r="F28" s="50">
        <v>23</v>
      </c>
      <c r="G28" s="51">
        <f>INDEX('Match Schedule'!$B$6:$B$79,MATCH(F28,'Match Schedule'!$A$6:$A$79,0))</f>
        <v>46301</v>
      </c>
      <c r="H28" s="50">
        <v>40</v>
      </c>
      <c r="I28" s="51">
        <f>INDEX('Match Schedule'!$B$6:$B$79,MATCH(H28,'Match Schedule'!$A$6:$A$79,0))</f>
        <v>46308</v>
      </c>
      <c r="J28" s="50"/>
      <c r="K28" s="50"/>
      <c r="L28" s="50">
        <f t="shared" si="0"/>
        <v>5</v>
      </c>
    </row>
    <row r="29" spans="1:12" ht="15" customHeight="1" x14ac:dyDescent="0.2">
      <c r="A29" s="48" t="s">
        <v>94</v>
      </c>
      <c r="B29" s="49" t="str">
        <f>IFERROR(INDEX('Groups A-H'!$C$5:$C$58,MATCH(A29,'Groups A-H'!$B$5:$B$58,0)),"")</f>
        <v>DGPC United</v>
      </c>
      <c r="C29" s="50" t="s">
        <v>92</v>
      </c>
      <c r="D29" s="50">
        <v>5</v>
      </c>
      <c r="E29" s="51">
        <f>INDEX('Match Schedule'!$B$6:$B$79,MATCH(D29,'Match Schedule'!$A$6:$A$79,0))</f>
        <v>46293</v>
      </c>
      <c r="F29" s="50">
        <v>24</v>
      </c>
      <c r="G29" s="51">
        <f>INDEX('Match Schedule'!$B$6:$B$79,MATCH(F29,'Match Schedule'!$A$6:$A$79,0))</f>
        <v>46301</v>
      </c>
      <c r="H29" s="50">
        <v>40</v>
      </c>
      <c r="I29" s="51">
        <f>INDEX('Match Schedule'!$B$6:$B$79,MATCH(H29,'Match Schedule'!$A$6:$A$79,0))</f>
        <v>46308</v>
      </c>
      <c r="J29" s="50"/>
      <c r="K29" s="50"/>
      <c r="L29" s="50">
        <f t="shared" si="0"/>
        <v>6</v>
      </c>
    </row>
    <row r="30" spans="1:12" ht="15" customHeight="1" x14ac:dyDescent="0.2">
      <c r="A30" s="44" t="s">
        <v>117</v>
      </c>
      <c r="B30" s="45" t="str">
        <f>IFERROR(INDEX('Groups A-H'!$C$5:$C$58,MATCH(A30,'Groups A-H'!$B$5:$B$58,0)),"")</f>
        <v>RICBL</v>
      </c>
      <c r="C30" s="46" t="s">
        <v>116</v>
      </c>
      <c r="D30" s="46">
        <v>21</v>
      </c>
      <c r="E30" s="47">
        <f>INDEX('Match Schedule'!$B$6:$B$79,MATCH(D30,'Match Schedule'!$A$6:$A$79,0))</f>
        <v>46300</v>
      </c>
      <c r="F30" s="46">
        <v>35</v>
      </c>
      <c r="G30" s="47">
        <f>INDEX('Match Schedule'!$B$6:$B$79,MATCH(F30,'Match Schedule'!$A$6:$A$79,0))</f>
        <v>46306</v>
      </c>
      <c r="H30" s="46">
        <v>47</v>
      </c>
      <c r="I30" s="47">
        <f>INDEX('Match Schedule'!$B$6:$B$79,MATCH(H30,'Match Schedule'!$A$6:$A$79,0))</f>
        <v>46312</v>
      </c>
      <c r="J30" s="46"/>
      <c r="K30" s="46"/>
      <c r="L30" s="46">
        <f t="shared" si="0"/>
        <v>5</v>
      </c>
    </row>
    <row r="31" spans="1:12" ht="15" customHeight="1" x14ac:dyDescent="0.2">
      <c r="A31" s="44" t="s">
        <v>119</v>
      </c>
      <c r="B31" s="45" t="str">
        <f>IFERROR(INDEX('Groups A-H'!$C$5:$C$58,MATCH(A31,'Groups A-H'!$B$5:$B$58,0)),"")</f>
        <v>BOBL</v>
      </c>
      <c r="C31" s="46" t="s">
        <v>116</v>
      </c>
      <c r="D31" s="46">
        <v>22</v>
      </c>
      <c r="E31" s="47">
        <f>INDEX('Match Schedule'!$B$6:$B$79,MATCH(D31,'Match Schedule'!$A$6:$A$79,0))</f>
        <v>46300</v>
      </c>
      <c r="F31" s="46">
        <v>36</v>
      </c>
      <c r="G31" s="47">
        <f>INDEX('Match Schedule'!$B$6:$B$79,MATCH(F31,'Match Schedule'!$A$6:$A$79,0))</f>
        <v>46306</v>
      </c>
      <c r="H31" s="46">
        <v>47</v>
      </c>
      <c r="I31" s="47">
        <f>INDEX('Match Schedule'!$B$6:$B$79,MATCH(H31,'Match Schedule'!$A$6:$A$79,0))</f>
        <v>46312</v>
      </c>
      <c r="J31" s="46"/>
      <c r="K31" s="46"/>
      <c r="L31" s="46">
        <f t="shared" si="0"/>
        <v>5</v>
      </c>
    </row>
    <row r="32" spans="1:12" ht="15" customHeight="1" x14ac:dyDescent="0.2">
      <c r="A32" s="44" t="s">
        <v>120</v>
      </c>
      <c r="B32" s="45" t="str">
        <f>IFERROR(INDEX('Groups A-H'!$C$5:$C$58,MATCH(A32,'Groups A-H'!$B$5:$B$58,0)),"")</f>
        <v>Coca Cola</v>
      </c>
      <c r="C32" s="46" t="s">
        <v>116</v>
      </c>
      <c r="D32" s="46">
        <v>22</v>
      </c>
      <c r="E32" s="47">
        <f>INDEX('Match Schedule'!$B$6:$B$79,MATCH(D32,'Match Schedule'!$A$6:$A$79,0))</f>
        <v>46300</v>
      </c>
      <c r="F32" s="46">
        <v>35</v>
      </c>
      <c r="G32" s="47">
        <f>INDEX('Match Schedule'!$B$6:$B$79,MATCH(F32,'Match Schedule'!$A$6:$A$79,0))</f>
        <v>46306</v>
      </c>
      <c r="H32" s="46">
        <v>48</v>
      </c>
      <c r="I32" s="47">
        <f>INDEX('Match Schedule'!$B$6:$B$79,MATCH(H32,'Match Schedule'!$A$6:$A$79,0))</f>
        <v>46312</v>
      </c>
      <c r="J32" s="46"/>
      <c r="K32" s="46"/>
      <c r="L32" s="46">
        <f t="shared" si="0"/>
        <v>5</v>
      </c>
    </row>
    <row r="33" spans="1:12" ht="15" customHeight="1" x14ac:dyDescent="0.2">
      <c r="A33" s="44" t="s">
        <v>118</v>
      </c>
      <c r="B33" s="45" t="str">
        <f>IFERROR(INDEX('Groups A-H'!$C$5:$C$58,MATCH(A33,'Groups A-H'!$B$5:$B$58,0)),"")</f>
        <v>BEA</v>
      </c>
      <c r="C33" s="46" t="s">
        <v>116</v>
      </c>
      <c r="D33" s="46">
        <v>21</v>
      </c>
      <c r="E33" s="47">
        <f>INDEX('Match Schedule'!$B$6:$B$79,MATCH(D33,'Match Schedule'!$A$6:$A$79,0))</f>
        <v>46300</v>
      </c>
      <c r="F33" s="46">
        <v>36</v>
      </c>
      <c r="G33" s="47">
        <f>INDEX('Match Schedule'!$B$6:$B$79,MATCH(F33,'Match Schedule'!$A$6:$A$79,0))</f>
        <v>46306</v>
      </c>
      <c r="H33" s="46">
        <v>48</v>
      </c>
      <c r="I33" s="47">
        <f>INDEX('Match Schedule'!$B$6:$B$79,MATCH(H33,'Match Schedule'!$A$6:$A$79,0))</f>
        <v>46312</v>
      </c>
      <c r="J33" s="46"/>
      <c r="K33" s="46"/>
      <c r="L33" s="46">
        <f t="shared" si="0"/>
        <v>5</v>
      </c>
    </row>
    <row r="34" spans="1:12" ht="15" customHeight="1" x14ac:dyDescent="0.2">
      <c r="A34" s="48" t="s">
        <v>86</v>
      </c>
      <c r="B34" s="49" t="str">
        <f>IFERROR(INDEX('Groups A-H'!$C$5:$C$58,MATCH(A34,'Groups A-H'!$B$5:$B$58,0)),"")</f>
        <v>Bhutan Board Product Limited (BBPL)</v>
      </c>
      <c r="C34" s="50" t="s">
        <v>85</v>
      </c>
      <c r="D34" s="50">
        <v>3</v>
      </c>
      <c r="E34" s="51">
        <f>INDEX('Match Schedule'!$B$6:$B$79,MATCH(D34,'Match Schedule'!$A$6:$A$79,0))</f>
        <v>46292</v>
      </c>
      <c r="F34" s="50">
        <v>14</v>
      </c>
      <c r="G34" s="51">
        <f>INDEX('Match Schedule'!$B$6:$B$79,MATCH(F34,'Match Schedule'!$A$6:$A$79,0))</f>
        <v>46297</v>
      </c>
      <c r="H34" s="50">
        <v>52</v>
      </c>
      <c r="I34" s="51">
        <f>INDEX('Match Schedule'!$B$6:$B$79,MATCH(H34,'Match Schedule'!$A$6:$A$79,0))</f>
        <v>46313</v>
      </c>
      <c r="J34" s="50"/>
      <c r="K34" s="50"/>
      <c r="L34" s="50">
        <f t="shared" si="0"/>
        <v>4</v>
      </c>
    </row>
    <row r="35" spans="1:12" ht="15" customHeight="1" x14ac:dyDescent="0.2">
      <c r="A35" s="48" t="s">
        <v>99</v>
      </c>
      <c r="B35" s="49" t="str">
        <f>IFERROR(INDEX('Groups A-H'!$C$5:$C$58,MATCH(A35,'Groups A-H'!$B$5:$B$58,0)),"")</f>
        <v>Tashi Metals</v>
      </c>
      <c r="C35" s="50" t="s">
        <v>85</v>
      </c>
      <c r="D35" s="50">
        <v>8</v>
      </c>
      <c r="E35" s="51">
        <f>INDEX('Match Schedule'!$B$6:$B$79,MATCH(D35,'Match Schedule'!$A$6:$A$79,0))</f>
        <v>46294</v>
      </c>
      <c r="F35" s="50">
        <v>28</v>
      </c>
      <c r="G35" s="51">
        <f>INDEX('Match Schedule'!$B$6:$B$79,MATCH(F35,'Match Schedule'!$A$6:$A$79,0))</f>
        <v>46303</v>
      </c>
      <c r="H35" s="50">
        <v>52</v>
      </c>
      <c r="I35" s="51">
        <f>INDEX('Match Schedule'!$B$6:$B$79,MATCH(H35,'Match Schedule'!$A$6:$A$79,0))</f>
        <v>46313</v>
      </c>
      <c r="J35" s="50"/>
      <c r="K35" s="50"/>
      <c r="L35" s="50">
        <f t="shared" si="0"/>
        <v>8</v>
      </c>
    </row>
    <row r="36" spans="1:12" ht="15" customHeight="1" x14ac:dyDescent="0.2">
      <c r="A36" s="48" t="s">
        <v>100</v>
      </c>
      <c r="B36" s="49" t="str">
        <f>IFERROR(INDEX('Groups A-H'!$C$5:$C$58,MATCH(A36,'Groups A-H'!$B$5:$B$58,0)),"")</f>
        <v>Bhutan Lottery</v>
      </c>
      <c r="C36" s="50" t="s">
        <v>85</v>
      </c>
      <c r="D36" s="50">
        <v>8</v>
      </c>
      <c r="E36" s="51">
        <f>INDEX('Match Schedule'!$B$6:$B$79,MATCH(D36,'Match Schedule'!$A$6:$A$79,0))</f>
        <v>46294</v>
      </c>
      <c r="F36" s="50">
        <v>14</v>
      </c>
      <c r="G36" s="51">
        <f>INDEX('Match Schedule'!$B$6:$B$79,MATCH(F36,'Match Schedule'!$A$6:$A$79,0))</f>
        <v>46297</v>
      </c>
      <c r="H36" s="50">
        <v>49</v>
      </c>
      <c r="I36" s="51">
        <f>INDEX('Match Schedule'!$B$6:$B$79,MATCH(H36,'Match Schedule'!$A$6:$A$79,0))</f>
        <v>46312</v>
      </c>
      <c r="J36" s="50"/>
      <c r="K36" s="50"/>
      <c r="L36" s="50">
        <f t="shared" si="0"/>
        <v>2</v>
      </c>
    </row>
    <row r="37" spans="1:12" ht="15" customHeight="1" x14ac:dyDescent="0.2">
      <c r="A37" s="48" t="s">
        <v>87</v>
      </c>
      <c r="B37" s="49" t="str">
        <f>IFERROR(INDEX('Groups A-H'!$C$5:$C$58,MATCH(A37,'Groups A-H'!$B$5:$B$58,0)),"")</f>
        <v>PTDP</v>
      </c>
      <c r="C37" s="50" t="s">
        <v>85</v>
      </c>
      <c r="D37" s="50">
        <v>3</v>
      </c>
      <c r="E37" s="51">
        <f>INDEX('Match Schedule'!$B$6:$B$79,MATCH(D37,'Match Schedule'!$A$6:$A$79,0))</f>
        <v>46292</v>
      </c>
      <c r="F37" s="50">
        <v>28</v>
      </c>
      <c r="G37" s="51">
        <f>INDEX('Match Schedule'!$B$6:$B$79,MATCH(F37,'Match Schedule'!$A$6:$A$79,0))</f>
        <v>46303</v>
      </c>
      <c r="H37" s="50">
        <v>49</v>
      </c>
      <c r="I37" s="51">
        <f>INDEX('Match Schedule'!$B$6:$B$79,MATCH(H37,'Match Schedule'!$A$6:$A$79,0))</f>
        <v>46312</v>
      </c>
      <c r="J37" s="50"/>
      <c r="K37" s="50"/>
      <c r="L37" s="50">
        <f t="shared" si="0"/>
        <v>8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9"/>
  <sheetViews>
    <sheetView showGridLines="0" view="pageBreakPreview" zoomScaleNormal="207" workbookViewId="0"/>
  </sheetViews>
  <sheetFormatPr baseColWidth="10" defaultColWidth="8.6640625" defaultRowHeight="15" x14ac:dyDescent="0.2"/>
  <cols>
    <col min="1" max="1" width="8" style="24" customWidth="1"/>
    <col min="2" max="2" width="14" style="24" customWidth="1"/>
    <col min="3" max="3" width="48" style="24" customWidth="1"/>
    <col min="4" max="4" width="16" style="24" customWidth="1"/>
    <col min="5" max="5" width="8.6640625" style="24"/>
    <col min="6" max="6" width="12.33203125" style="24" customWidth="1"/>
    <col min="7" max="7" width="15.6640625" style="24" customWidth="1"/>
    <col min="8" max="8" width="16.6640625" style="24" customWidth="1"/>
    <col min="9" max="10" width="8.6640625" style="24"/>
    <col min="11" max="11" width="27.1640625" style="24" customWidth="1"/>
    <col min="12" max="16384" width="8.6640625" style="24"/>
  </cols>
  <sheetData>
    <row r="1" spans="1:11" ht="18" customHeight="1" x14ac:dyDescent="0.2">
      <c r="A1" s="9" t="s">
        <v>185</v>
      </c>
      <c r="B1" s="9"/>
      <c r="C1" s="9"/>
      <c r="D1" s="9"/>
      <c r="E1" s="9"/>
    </row>
    <row r="3" spans="1:11" ht="15" customHeight="1" x14ac:dyDescent="0.2">
      <c r="A3" s="1" t="s">
        <v>186</v>
      </c>
      <c r="B3" s="1"/>
      <c r="C3" s="1"/>
      <c r="D3" s="1"/>
    </row>
    <row r="4" spans="1:11" ht="15" customHeight="1" x14ac:dyDescent="0.2">
      <c r="A4" s="52" t="s">
        <v>187</v>
      </c>
      <c r="B4" s="52" t="s">
        <v>188</v>
      </c>
      <c r="C4" s="52" t="s">
        <v>189</v>
      </c>
      <c r="D4" s="52" t="s">
        <v>190</v>
      </c>
    </row>
    <row r="5" spans="1:11" ht="16.5" customHeight="1" x14ac:dyDescent="0.2">
      <c r="A5" s="53">
        <v>1</v>
      </c>
      <c r="B5" s="54" t="s">
        <v>110</v>
      </c>
      <c r="C5" s="55" t="s">
        <v>191</v>
      </c>
      <c r="D5" s="53" t="s">
        <v>192</v>
      </c>
      <c r="E5" s="56"/>
      <c r="F5" s="56"/>
      <c r="G5" s="56"/>
      <c r="H5" s="56"/>
      <c r="I5" s="56"/>
      <c r="J5" s="56"/>
      <c r="K5" s="56"/>
    </row>
    <row r="6" spans="1:11" ht="36.75" customHeight="1" x14ac:dyDescent="0.2">
      <c r="A6" s="53">
        <v>2</v>
      </c>
      <c r="B6" s="54" t="s">
        <v>101</v>
      </c>
      <c r="C6" s="55" t="s">
        <v>193</v>
      </c>
      <c r="D6" s="53" t="s">
        <v>192</v>
      </c>
      <c r="E6" s="56"/>
      <c r="F6" s="56"/>
      <c r="G6" s="56"/>
      <c r="H6" s="56"/>
      <c r="I6" s="56"/>
      <c r="J6" s="56"/>
      <c r="K6" s="56"/>
    </row>
    <row r="7" spans="1:11" ht="16.5" customHeight="1" x14ac:dyDescent="0.2">
      <c r="A7" s="53">
        <v>3</v>
      </c>
      <c r="B7" s="54" t="s">
        <v>77</v>
      </c>
      <c r="C7" s="55" t="s">
        <v>194</v>
      </c>
      <c r="D7" s="53" t="s">
        <v>192</v>
      </c>
      <c r="E7" s="67"/>
      <c r="F7" s="56"/>
      <c r="G7" s="56"/>
      <c r="H7" s="56"/>
      <c r="I7" s="56"/>
      <c r="J7" s="56"/>
      <c r="K7" s="56"/>
    </row>
    <row r="8" spans="1:11" ht="16.5" customHeight="1" x14ac:dyDescent="0.2">
      <c r="A8" s="53">
        <v>4</v>
      </c>
      <c r="B8" s="54" t="s">
        <v>78</v>
      </c>
      <c r="C8" s="55" t="s">
        <v>195</v>
      </c>
      <c r="D8" s="53" t="s">
        <v>192</v>
      </c>
      <c r="E8" s="67"/>
      <c r="F8" s="56"/>
      <c r="G8" s="56"/>
      <c r="H8" s="56"/>
      <c r="I8" s="56"/>
      <c r="J8" s="56"/>
      <c r="K8" s="56"/>
    </row>
    <row r="9" spans="1:11" ht="16.5" customHeight="1" x14ac:dyDescent="0.2">
      <c r="A9" s="53">
        <v>5</v>
      </c>
      <c r="B9" s="54" t="s">
        <v>102</v>
      </c>
      <c r="C9" s="55" t="s">
        <v>196</v>
      </c>
      <c r="D9" s="53" t="s">
        <v>192</v>
      </c>
      <c r="E9" s="67"/>
      <c r="F9" s="56"/>
      <c r="G9" s="56"/>
      <c r="H9" s="56"/>
      <c r="I9" s="56"/>
      <c r="J9" s="56"/>
      <c r="K9" s="56"/>
    </row>
    <row r="10" spans="1:11" ht="15.75" customHeight="1" x14ac:dyDescent="0.2">
      <c r="A10" s="56"/>
      <c r="B10" s="56"/>
      <c r="C10" s="56"/>
      <c r="D10" s="56"/>
      <c r="E10" s="67"/>
      <c r="F10" s="56"/>
      <c r="G10" s="56"/>
      <c r="H10" s="56"/>
      <c r="I10" s="56"/>
      <c r="J10" s="56"/>
      <c r="K10" s="56"/>
    </row>
    <row r="11" spans="1:11" ht="15.75" customHeight="1" x14ac:dyDescent="0.2">
      <c r="A11" s="68" t="s">
        <v>197</v>
      </c>
      <c r="B11" s="68"/>
      <c r="C11" s="68"/>
      <c r="D11" s="68"/>
      <c r="E11" s="67"/>
      <c r="F11" s="56"/>
      <c r="G11" s="56"/>
      <c r="H11" s="56"/>
      <c r="I11" s="56"/>
      <c r="J11" s="56"/>
      <c r="K11" s="56"/>
    </row>
    <row r="12" spans="1:11" ht="16.5" customHeight="1" x14ac:dyDescent="0.2">
      <c r="A12" s="57" t="s">
        <v>187</v>
      </c>
      <c r="B12" s="57" t="s">
        <v>188</v>
      </c>
      <c r="C12" s="57" t="s">
        <v>179</v>
      </c>
      <c r="D12" s="57" t="s">
        <v>190</v>
      </c>
      <c r="E12" s="67"/>
      <c r="F12" s="56"/>
      <c r="G12" s="56"/>
      <c r="H12" s="56"/>
      <c r="I12" s="56"/>
      <c r="J12" s="56"/>
      <c r="K12" s="56"/>
    </row>
    <row r="13" spans="1:11" ht="16.5" customHeight="1" x14ac:dyDescent="0.2">
      <c r="A13" s="53">
        <v>1</v>
      </c>
      <c r="B13" s="54" t="s">
        <v>97</v>
      </c>
      <c r="C13" s="55" t="s">
        <v>198</v>
      </c>
      <c r="D13" s="53" t="s">
        <v>192</v>
      </c>
      <c r="E13" s="67"/>
      <c r="F13" s="56"/>
      <c r="G13" s="56"/>
      <c r="H13" s="56"/>
      <c r="I13" s="56"/>
      <c r="J13" s="56"/>
      <c r="K13" s="56"/>
    </row>
    <row r="14" spans="1:11" ht="16.5" customHeight="1" x14ac:dyDescent="0.2">
      <c r="A14" s="53">
        <v>2</v>
      </c>
      <c r="B14" s="54" t="s">
        <v>90</v>
      </c>
      <c r="C14" s="55" t="s">
        <v>199</v>
      </c>
      <c r="D14" s="53" t="s">
        <v>192</v>
      </c>
      <c r="E14" s="67"/>
      <c r="F14" s="56"/>
      <c r="G14" s="56"/>
      <c r="H14" s="56"/>
      <c r="I14" s="56"/>
      <c r="J14" s="56"/>
      <c r="K14" s="56"/>
    </row>
    <row r="15" spans="1:11" ht="16.5" customHeight="1" x14ac:dyDescent="0.2">
      <c r="A15" s="53">
        <v>3</v>
      </c>
      <c r="B15" s="54" t="s">
        <v>91</v>
      </c>
      <c r="C15" s="55" t="s">
        <v>200</v>
      </c>
      <c r="D15" s="53" t="s">
        <v>192</v>
      </c>
      <c r="E15" s="67"/>
      <c r="F15" s="56"/>
      <c r="G15" s="56"/>
      <c r="H15" s="56"/>
      <c r="I15" s="56"/>
      <c r="J15" s="56"/>
      <c r="K15" s="56"/>
    </row>
    <row r="16" spans="1:11" ht="16.5" customHeight="1" x14ac:dyDescent="0.2">
      <c r="A16" s="53">
        <v>4</v>
      </c>
      <c r="B16" s="54" t="s">
        <v>98</v>
      </c>
      <c r="C16" s="55" t="s">
        <v>201</v>
      </c>
      <c r="D16" s="53" t="s">
        <v>192</v>
      </c>
      <c r="E16" s="67"/>
      <c r="F16" s="56"/>
      <c r="G16" s="56"/>
      <c r="H16" s="56"/>
      <c r="I16" s="56"/>
      <c r="J16" s="56"/>
      <c r="K16" s="56"/>
    </row>
    <row r="17" spans="1:11" ht="15.75" customHeight="1" x14ac:dyDescent="0.2">
      <c r="A17" s="56"/>
      <c r="B17" s="56"/>
      <c r="C17" s="56"/>
      <c r="D17" s="56"/>
      <c r="E17" s="67"/>
      <c r="F17" s="56"/>
      <c r="G17" s="56"/>
      <c r="H17" s="56"/>
      <c r="I17" s="56"/>
      <c r="J17" s="56"/>
      <c r="K17" s="56"/>
    </row>
    <row r="18" spans="1:11" ht="15.75" customHeight="1" x14ac:dyDescent="0.2">
      <c r="A18" s="68" t="s">
        <v>202</v>
      </c>
      <c r="B18" s="68"/>
      <c r="C18" s="68"/>
      <c r="D18" s="68"/>
      <c r="E18" s="67"/>
      <c r="F18" s="56"/>
      <c r="G18" s="56"/>
      <c r="H18" s="56"/>
      <c r="I18" s="56"/>
      <c r="J18" s="56"/>
      <c r="K18" s="56"/>
    </row>
    <row r="19" spans="1:11" ht="16.5" customHeight="1" x14ac:dyDescent="0.2">
      <c r="A19" s="57" t="s">
        <v>187</v>
      </c>
      <c r="B19" s="57" t="s">
        <v>188</v>
      </c>
      <c r="C19" s="57" t="s">
        <v>179</v>
      </c>
      <c r="D19" s="57" t="s">
        <v>190</v>
      </c>
      <c r="E19" s="67"/>
      <c r="F19" s="56"/>
      <c r="G19" s="56"/>
      <c r="H19" s="56"/>
      <c r="I19" s="56"/>
      <c r="J19" s="56"/>
      <c r="K19" s="56"/>
    </row>
    <row r="20" spans="1:11" ht="16.5" customHeight="1" x14ac:dyDescent="0.2">
      <c r="A20" s="53">
        <v>1</v>
      </c>
      <c r="B20" s="54" t="s">
        <v>106</v>
      </c>
      <c r="C20" s="55" t="s">
        <v>203</v>
      </c>
      <c r="D20" s="53" t="s">
        <v>192</v>
      </c>
      <c r="E20" s="67"/>
      <c r="F20" s="56"/>
      <c r="G20" s="56"/>
      <c r="H20" s="56"/>
      <c r="I20" s="56"/>
      <c r="J20" s="56"/>
      <c r="K20" s="56"/>
    </row>
    <row r="21" spans="1:11" ht="16.5" customHeight="1" x14ac:dyDescent="0.2">
      <c r="A21" s="53">
        <v>2</v>
      </c>
      <c r="B21" s="54" t="s">
        <v>108</v>
      </c>
      <c r="C21" s="55" t="s">
        <v>204</v>
      </c>
      <c r="D21" s="53" t="s">
        <v>192</v>
      </c>
      <c r="E21" s="67"/>
      <c r="F21" s="56"/>
      <c r="G21" s="56"/>
      <c r="H21" s="56"/>
      <c r="I21" s="56"/>
      <c r="J21" s="56"/>
      <c r="K21" s="56"/>
    </row>
    <row r="22" spans="1:11" ht="16.5" customHeight="1" x14ac:dyDescent="0.2">
      <c r="A22" s="53">
        <v>3</v>
      </c>
      <c r="B22" s="54" t="s">
        <v>109</v>
      </c>
      <c r="C22" s="55" t="s">
        <v>205</v>
      </c>
      <c r="D22" s="53" t="s">
        <v>192</v>
      </c>
      <c r="E22" s="67"/>
      <c r="F22" s="56"/>
      <c r="G22" s="56"/>
      <c r="H22" s="56"/>
      <c r="I22" s="56"/>
      <c r="J22" s="56"/>
      <c r="K22" s="56"/>
    </row>
    <row r="23" spans="1:11" ht="16.5" customHeight="1" x14ac:dyDescent="0.2">
      <c r="A23" s="53">
        <v>4</v>
      </c>
      <c r="B23" s="54" t="s">
        <v>107</v>
      </c>
      <c r="C23" s="55" t="s">
        <v>206</v>
      </c>
      <c r="D23" s="53" t="s">
        <v>192</v>
      </c>
      <c r="E23" s="67"/>
      <c r="F23" s="56"/>
      <c r="G23" s="56"/>
      <c r="H23" s="56"/>
      <c r="I23" s="56"/>
      <c r="J23" s="56"/>
      <c r="K23" s="56"/>
    </row>
    <row r="24" spans="1:11" ht="15.75" customHeight="1" x14ac:dyDescent="0.2">
      <c r="A24" s="56"/>
      <c r="B24" s="56"/>
      <c r="C24" s="56"/>
      <c r="D24" s="56"/>
      <c r="E24" s="67"/>
      <c r="F24" s="56"/>
      <c r="G24" s="56"/>
      <c r="H24" s="56"/>
      <c r="I24" s="56"/>
      <c r="J24" s="56"/>
      <c r="K24" s="56"/>
    </row>
    <row r="25" spans="1:11" ht="15.75" customHeight="1" x14ac:dyDescent="0.2">
      <c r="A25" s="68" t="s">
        <v>207</v>
      </c>
      <c r="B25" s="68"/>
      <c r="C25" s="68"/>
      <c r="D25" s="68"/>
      <c r="E25" s="67"/>
      <c r="F25" s="56"/>
      <c r="G25" s="56"/>
      <c r="H25" s="56"/>
      <c r="I25" s="56"/>
      <c r="J25" s="56"/>
      <c r="K25" s="56"/>
    </row>
    <row r="26" spans="1:11" ht="16.5" customHeight="1" x14ac:dyDescent="0.2">
      <c r="A26" s="57" t="s">
        <v>187</v>
      </c>
      <c r="B26" s="57" t="s">
        <v>188</v>
      </c>
      <c r="C26" s="57" t="s">
        <v>179</v>
      </c>
      <c r="D26" s="57" t="s">
        <v>190</v>
      </c>
      <c r="E26" s="67"/>
      <c r="F26" s="56"/>
      <c r="G26" s="56"/>
      <c r="H26" s="56"/>
      <c r="I26" s="56"/>
      <c r="J26" s="56"/>
      <c r="K26" s="56"/>
    </row>
    <row r="27" spans="1:11" ht="16.5" customHeight="1" x14ac:dyDescent="0.2">
      <c r="A27" s="53">
        <v>1</v>
      </c>
      <c r="B27" s="54" t="s">
        <v>82</v>
      </c>
      <c r="C27" s="55" t="s">
        <v>208</v>
      </c>
      <c r="D27" s="53" t="s">
        <v>192</v>
      </c>
      <c r="E27" s="67"/>
      <c r="F27" s="56"/>
      <c r="G27" s="56"/>
      <c r="H27" s="56"/>
      <c r="I27" s="56"/>
      <c r="J27" s="56"/>
      <c r="K27" s="56"/>
    </row>
    <row r="28" spans="1:11" ht="16.5" customHeight="1" x14ac:dyDescent="0.2">
      <c r="A28" s="53">
        <v>2</v>
      </c>
      <c r="B28" s="54" t="s">
        <v>95</v>
      </c>
      <c r="C28" s="55" t="s">
        <v>209</v>
      </c>
      <c r="D28" s="53" t="s">
        <v>192</v>
      </c>
      <c r="E28" s="67"/>
      <c r="F28" s="56"/>
      <c r="G28" s="56"/>
      <c r="H28" s="56"/>
      <c r="I28" s="56"/>
      <c r="J28" s="56"/>
      <c r="K28" s="56"/>
    </row>
    <row r="29" spans="1:11" ht="16.5" customHeight="1" x14ac:dyDescent="0.2">
      <c r="A29" s="53">
        <v>3</v>
      </c>
      <c r="B29" s="54" t="s">
        <v>96</v>
      </c>
      <c r="C29" s="55" t="s">
        <v>210</v>
      </c>
      <c r="D29" s="53" t="s">
        <v>192</v>
      </c>
      <c r="E29" s="67"/>
      <c r="F29" s="56"/>
      <c r="G29" s="56"/>
      <c r="H29" s="56"/>
      <c r="I29" s="56"/>
      <c r="J29" s="56"/>
      <c r="K29" s="56"/>
    </row>
    <row r="30" spans="1:11" ht="16.5" customHeight="1" x14ac:dyDescent="0.2">
      <c r="A30" s="53">
        <v>4</v>
      </c>
      <c r="B30" s="54" t="s">
        <v>83</v>
      </c>
      <c r="C30" s="55" t="s">
        <v>211</v>
      </c>
      <c r="D30" s="53" t="s">
        <v>192</v>
      </c>
      <c r="E30" s="67"/>
      <c r="F30" s="56"/>
      <c r="G30" s="56"/>
      <c r="H30" s="56"/>
      <c r="I30" s="56"/>
      <c r="J30" s="56"/>
      <c r="K30" s="56"/>
    </row>
    <row r="31" spans="1:11" ht="15.75" customHeight="1" x14ac:dyDescent="0.2">
      <c r="A31" s="56"/>
      <c r="B31" s="56"/>
      <c r="C31" s="56"/>
      <c r="D31" s="56"/>
      <c r="E31" s="67"/>
      <c r="F31" s="56"/>
      <c r="G31" s="56"/>
      <c r="H31" s="56"/>
      <c r="I31" s="56"/>
      <c r="J31" s="56"/>
      <c r="K31" s="56"/>
    </row>
    <row r="32" spans="1:11" ht="15.75" customHeight="1" x14ac:dyDescent="0.2">
      <c r="A32" s="68" t="s">
        <v>212</v>
      </c>
      <c r="B32" s="68"/>
      <c r="C32" s="68"/>
      <c r="D32" s="68"/>
      <c r="E32" s="67"/>
      <c r="F32" s="56"/>
      <c r="G32" s="56"/>
      <c r="H32" s="56"/>
      <c r="I32" s="56"/>
      <c r="J32" s="56"/>
      <c r="K32" s="56"/>
    </row>
    <row r="33" spans="1:11" ht="16.5" customHeight="1" x14ac:dyDescent="0.2">
      <c r="A33" s="57" t="s">
        <v>187</v>
      </c>
      <c r="B33" s="57" t="s">
        <v>188</v>
      </c>
      <c r="C33" s="57" t="s">
        <v>179</v>
      </c>
      <c r="D33" s="57" t="s">
        <v>190</v>
      </c>
      <c r="E33" s="67"/>
      <c r="F33" s="56"/>
      <c r="G33" s="56"/>
      <c r="H33" s="56"/>
      <c r="I33" s="56"/>
      <c r="J33" s="56"/>
      <c r="K33" s="56"/>
    </row>
    <row r="34" spans="1:11" ht="16.5" customHeight="1" x14ac:dyDescent="0.2">
      <c r="A34" s="53">
        <v>1</v>
      </c>
      <c r="B34" s="54" t="s">
        <v>114</v>
      </c>
      <c r="C34" s="55" t="s">
        <v>213</v>
      </c>
      <c r="D34" s="53" t="s">
        <v>192</v>
      </c>
      <c r="E34" s="67"/>
      <c r="F34" s="56"/>
      <c r="G34" s="56"/>
      <c r="H34" s="56"/>
      <c r="I34" s="56"/>
      <c r="J34" s="56"/>
      <c r="K34" s="56"/>
    </row>
    <row r="35" spans="1:11" ht="16.5" customHeight="1" x14ac:dyDescent="0.2">
      <c r="A35" s="53">
        <v>2</v>
      </c>
      <c r="B35" s="54" t="s">
        <v>112</v>
      </c>
      <c r="C35" s="55" t="s">
        <v>214</v>
      </c>
      <c r="D35" s="53" t="s">
        <v>192</v>
      </c>
      <c r="E35" s="67"/>
      <c r="F35" s="56"/>
      <c r="G35" s="56"/>
      <c r="H35" s="56"/>
      <c r="I35" s="56"/>
      <c r="J35" s="56"/>
      <c r="K35" s="56"/>
    </row>
    <row r="36" spans="1:11" ht="16.5" customHeight="1" x14ac:dyDescent="0.2">
      <c r="A36" s="53">
        <v>3</v>
      </c>
      <c r="B36" s="54" t="s">
        <v>113</v>
      </c>
      <c r="C36" s="55" t="s">
        <v>215</v>
      </c>
      <c r="D36" s="53" t="s">
        <v>192</v>
      </c>
      <c r="E36" s="67"/>
      <c r="F36" s="56"/>
      <c r="G36" s="56"/>
      <c r="H36" s="56"/>
      <c r="I36" s="56"/>
      <c r="J36" s="56"/>
      <c r="K36" s="56"/>
    </row>
    <row r="37" spans="1:11" ht="16.5" customHeight="1" x14ac:dyDescent="0.2">
      <c r="A37" s="53">
        <v>4</v>
      </c>
      <c r="B37" s="54" t="s">
        <v>115</v>
      </c>
      <c r="C37" s="55" t="s">
        <v>216</v>
      </c>
      <c r="D37" s="53" t="s">
        <v>192</v>
      </c>
      <c r="E37" s="67"/>
      <c r="F37" s="56"/>
      <c r="G37" s="56"/>
      <c r="H37" s="56"/>
      <c r="I37" s="56"/>
      <c r="J37" s="56"/>
      <c r="K37" s="56"/>
    </row>
    <row r="38" spans="1:11" ht="15.75" customHeight="1" x14ac:dyDescent="0.2">
      <c r="A38" s="56"/>
      <c r="B38" s="56"/>
      <c r="C38" s="56"/>
      <c r="D38" s="56"/>
      <c r="E38" s="67"/>
      <c r="F38" s="56"/>
      <c r="G38" s="56"/>
      <c r="H38" s="56"/>
      <c r="I38" s="56"/>
      <c r="J38" s="56"/>
      <c r="K38" s="56"/>
    </row>
    <row r="39" spans="1:11" ht="15.75" customHeight="1" x14ac:dyDescent="0.2">
      <c r="A39" s="68" t="s">
        <v>217</v>
      </c>
      <c r="B39" s="68"/>
      <c r="C39" s="68"/>
      <c r="D39" s="68"/>
      <c r="E39" s="67"/>
      <c r="F39" s="56"/>
      <c r="G39" s="56"/>
      <c r="H39" s="56"/>
      <c r="I39" s="56"/>
      <c r="J39" s="56"/>
      <c r="K39" s="56"/>
    </row>
    <row r="40" spans="1:11" ht="16.5" customHeight="1" x14ac:dyDescent="0.2">
      <c r="A40" s="57" t="s">
        <v>187</v>
      </c>
      <c r="B40" s="57" t="s">
        <v>188</v>
      </c>
      <c r="C40" s="57" t="s">
        <v>179</v>
      </c>
      <c r="D40" s="57" t="s">
        <v>190</v>
      </c>
      <c r="E40" s="67"/>
      <c r="F40" s="56"/>
      <c r="G40" s="56"/>
      <c r="H40" s="56"/>
      <c r="I40" s="56"/>
      <c r="J40" s="56"/>
      <c r="K40" s="56"/>
    </row>
    <row r="41" spans="1:11" ht="16.5" customHeight="1" x14ac:dyDescent="0.2">
      <c r="A41" s="53">
        <v>1</v>
      </c>
      <c r="B41" s="54" t="s">
        <v>93</v>
      </c>
      <c r="C41" s="55" t="s">
        <v>218</v>
      </c>
      <c r="D41" s="53" t="s">
        <v>192</v>
      </c>
      <c r="E41" s="67"/>
      <c r="F41" s="56"/>
      <c r="G41" s="56"/>
      <c r="H41" s="56"/>
      <c r="I41" s="56"/>
      <c r="J41" s="56"/>
      <c r="K41" s="56"/>
    </row>
    <row r="42" spans="1:11" ht="16.5" customHeight="1" x14ac:dyDescent="0.2">
      <c r="A42" s="53">
        <v>2</v>
      </c>
      <c r="B42" s="54" t="s">
        <v>103</v>
      </c>
      <c r="C42" s="55" t="s">
        <v>219</v>
      </c>
      <c r="D42" s="53" t="s">
        <v>192</v>
      </c>
      <c r="E42" s="67"/>
      <c r="F42" s="56"/>
      <c r="G42" s="56"/>
      <c r="H42" s="56"/>
      <c r="I42" s="56"/>
      <c r="J42" s="56"/>
      <c r="K42" s="56"/>
    </row>
    <row r="43" spans="1:11" ht="16.5" customHeight="1" x14ac:dyDescent="0.2">
      <c r="A43" s="53">
        <v>3</v>
      </c>
      <c r="B43" s="54" t="s">
        <v>104</v>
      </c>
      <c r="C43" s="55" t="s">
        <v>220</v>
      </c>
      <c r="D43" s="53" t="s">
        <v>192</v>
      </c>
      <c r="E43" s="67"/>
      <c r="F43" s="56"/>
      <c r="G43" s="56"/>
      <c r="H43" s="56"/>
      <c r="I43" s="56"/>
      <c r="J43" s="56"/>
      <c r="K43" s="56"/>
    </row>
    <row r="44" spans="1:11" ht="16.5" customHeight="1" x14ac:dyDescent="0.2">
      <c r="A44" s="53">
        <v>4</v>
      </c>
      <c r="B44" s="54" t="s">
        <v>94</v>
      </c>
      <c r="C44" s="55" t="s">
        <v>221</v>
      </c>
      <c r="D44" s="53" t="s">
        <v>192</v>
      </c>
      <c r="E44" s="67"/>
      <c r="F44" s="56"/>
      <c r="G44" s="56"/>
      <c r="H44" s="56"/>
      <c r="I44" s="56"/>
      <c r="J44" s="56"/>
      <c r="K44" s="56"/>
    </row>
    <row r="45" spans="1:11" ht="15.75" customHeight="1" x14ac:dyDescent="0.2">
      <c r="A45" s="56"/>
      <c r="B45" s="56"/>
      <c r="C45" s="56"/>
      <c r="D45" s="56"/>
      <c r="E45" s="67"/>
      <c r="F45" s="56"/>
      <c r="G45" s="56"/>
      <c r="H45" s="56"/>
      <c r="I45" s="56"/>
      <c r="J45" s="56"/>
      <c r="K45" s="56"/>
    </row>
    <row r="46" spans="1:11" ht="15.75" customHeight="1" x14ac:dyDescent="0.2">
      <c r="A46" s="68" t="s">
        <v>222</v>
      </c>
      <c r="B46" s="68"/>
      <c r="C46" s="68"/>
      <c r="D46" s="68"/>
      <c r="E46" s="67"/>
      <c r="F46" s="56"/>
      <c r="G46" s="56"/>
      <c r="H46" s="56"/>
      <c r="I46" s="56"/>
      <c r="J46" s="56"/>
      <c r="K46" s="56"/>
    </row>
    <row r="47" spans="1:11" ht="16.5" customHeight="1" x14ac:dyDescent="0.2">
      <c r="A47" s="57" t="s">
        <v>187</v>
      </c>
      <c r="B47" s="57" t="s">
        <v>188</v>
      </c>
      <c r="C47" s="57" t="s">
        <v>179</v>
      </c>
      <c r="D47" s="57" t="s">
        <v>190</v>
      </c>
      <c r="E47" s="67"/>
      <c r="F47" s="56"/>
      <c r="G47" s="56"/>
      <c r="H47" s="56"/>
      <c r="I47" s="56"/>
      <c r="J47" s="56"/>
      <c r="K47" s="56"/>
    </row>
    <row r="48" spans="1:11" ht="16.5" customHeight="1" x14ac:dyDescent="0.2">
      <c r="A48" s="53">
        <v>1</v>
      </c>
      <c r="B48" s="54" t="s">
        <v>117</v>
      </c>
      <c r="C48" s="55" t="s">
        <v>223</v>
      </c>
      <c r="D48" s="53" t="s">
        <v>192</v>
      </c>
      <c r="E48" s="67"/>
      <c r="F48" s="56"/>
      <c r="G48" s="56"/>
      <c r="H48" s="56"/>
      <c r="I48" s="56"/>
      <c r="J48" s="56"/>
      <c r="K48" s="56"/>
    </row>
    <row r="49" spans="1:11" ht="16.5" customHeight="1" x14ac:dyDescent="0.2">
      <c r="A49" s="53">
        <v>2</v>
      </c>
      <c r="B49" s="54" t="s">
        <v>119</v>
      </c>
      <c r="C49" s="55" t="s">
        <v>224</v>
      </c>
      <c r="D49" s="53" t="s">
        <v>192</v>
      </c>
      <c r="E49" s="67"/>
      <c r="F49" s="56"/>
      <c r="G49" s="56"/>
      <c r="H49" s="56"/>
      <c r="I49" s="56"/>
      <c r="J49" s="56"/>
      <c r="K49" s="56"/>
    </row>
    <row r="50" spans="1:11" ht="16.5" customHeight="1" x14ac:dyDescent="0.2">
      <c r="A50" s="53">
        <v>3</v>
      </c>
      <c r="B50" s="54" t="s">
        <v>120</v>
      </c>
      <c r="C50" s="55" t="s">
        <v>225</v>
      </c>
      <c r="D50" s="53" t="s">
        <v>192</v>
      </c>
      <c r="E50" s="67"/>
      <c r="F50" s="56"/>
      <c r="G50" s="56"/>
      <c r="H50" s="56"/>
      <c r="I50" s="56"/>
      <c r="J50" s="56"/>
      <c r="K50" s="56"/>
    </row>
    <row r="51" spans="1:11" ht="16.5" customHeight="1" x14ac:dyDescent="0.2">
      <c r="A51" s="53">
        <v>4</v>
      </c>
      <c r="B51" s="54" t="s">
        <v>118</v>
      </c>
      <c r="C51" s="55" t="s">
        <v>226</v>
      </c>
      <c r="D51" s="53" t="s">
        <v>192</v>
      </c>
      <c r="E51" s="67"/>
      <c r="F51" s="56"/>
      <c r="G51" s="56"/>
      <c r="H51" s="56"/>
      <c r="I51" s="56"/>
      <c r="J51" s="56"/>
      <c r="K51" s="56"/>
    </row>
    <row r="52" spans="1:11" ht="15.75" customHeight="1" x14ac:dyDescent="0.2">
      <c r="A52" s="56"/>
      <c r="B52" s="56"/>
      <c r="C52" s="56"/>
      <c r="D52" s="56"/>
      <c r="E52" s="67"/>
      <c r="F52" s="56"/>
      <c r="G52" s="56"/>
      <c r="H52" s="56"/>
      <c r="I52" s="56"/>
      <c r="J52" s="56"/>
      <c r="K52" s="56"/>
    </row>
    <row r="53" spans="1:11" ht="15.75" customHeight="1" x14ac:dyDescent="0.2">
      <c r="A53" s="68" t="s">
        <v>227</v>
      </c>
      <c r="B53" s="68"/>
      <c r="C53" s="68"/>
      <c r="D53" s="68"/>
      <c r="E53" s="67"/>
      <c r="F53" s="56"/>
      <c r="G53" s="56"/>
      <c r="H53" s="56"/>
      <c r="I53" s="56"/>
      <c r="J53" s="56"/>
      <c r="K53" s="56"/>
    </row>
    <row r="54" spans="1:11" ht="16.5" customHeight="1" x14ac:dyDescent="0.2">
      <c r="A54" s="57" t="s">
        <v>187</v>
      </c>
      <c r="B54" s="57" t="s">
        <v>188</v>
      </c>
      <c r="C54" s="57" t="s">
        <v>179</v>
      </c>
      <c r="D54" s="57" t="s">
        <v>190</v>
      </c>
      <c r="E54" s="67"/>
      <c r="F54" s="56"/>
      <c r="G54" s="56"/>
      <c r="H54" s="56"/>
      <c r="I54" s="56"/>
      <c r="J54" s="56"/>
      <c r="K54" s="56"/>
    </row>
    <row r="55" spans="1:11" ht="16.5" customHeight="1" x14ac:dyDescent="0.2">
      <c r="A55" s="53">
        <v>1</v>
      </c>
      <c r="B55" s="54" t="s">
        <v>86</v>
      </c>
      <c r="C55" s="55" t="s">
        <v>228</v>
      </c>
      <c r="D55" s="53" t="s">
        <v>192</v>
      </c>
      <c r="E55" s="67"/>
      <c r="F55" s="56"/>
      <c r="G55" s="56"/>
      <c r="H55" s="56"/>
      <c r="I55" s="56"/>
      <c r="J55" s="56"/>
      <c r="K55" s="56" t="s">
        <v>125</v>
      </c>
    </row>
    <row r="56" spans="1:11" ht="16.5" customHeight="1" x14ac:dyDescent="0.2">
      <c r="A56" s="53">
        <v>2</v>
      </c>
      <c r="B56" s="54" t="s">
        <v>99</v>
      </c>
      <c r="C56" s="55" t="s">
        <v>229</v>
      </c>
      <c r="D56" s="53" t="s">
        <v>192</v>
      </c>
      <c r="E56" s="67"/>
      <c r="F56" s="56"/>
      <c r="G56" s="56"/>
      <c r="H56" s="56"/>
      <c r="I56" s="56"/>
      <c r="J56" s="56"/>
      <c r="K56" s="56"/>
    </row>
    <row r="57" spans="1:11" ht="16.5" customHeight="1" x14ac:dyDescent="0.2">
      <c r="A57" s="53">
        <v>3</v>
      </c>
      <c r="B57" s="54" t="s">
        <v>100</v>
      </c>
      <c r="C57" s="55" t="s">
        <v>230</v>
      </c>
      <c r="D57" s="53" t="s">
        <v>192</v>
      </c>
      <c r="E57" s="67"/>
      <c r="F57" s="56"/>
      <c r="G57" s="56"/>
      <c r="H57" s="56"/>
      <c r="I57" s="56"/>
      <c r="J57" s="56"/>
      <c r="K57" s="56"/>
    </row>
    <row r="58" spans="1:11" ht="16.5" customHeight="1" x14ac:dyDescent="0.2">
      <c r="A58" s="53">
        <v>4</v>
      </c>
      <c r="B58" s="54" t="s">
        <v>87</v>
      </c>
      <c r="C58" s="55" t="s">
        <v>231</v>
      </c>
      <c r="D58" s="53" t="s">
        <v>192</v>
      </c>
      <c r="E58" s="67"/>
      <c r="F58" s="56"/>
      <c r="G58" s="56"/>
      <c r="H58" s="56"/>
      <c r="I58" s="56"/>
      <c r="J58" s="56"/>
      <c r="K58" s="56" t="s">
        <v>125</v>
      </c>
    </row>
    <row r="59" spans="1:11" ht="15.75" customHeight="1" x14ac:dyDescent="0.2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</row>
    <row r="60" spans="1:11" ht="15.75" customHeight="1" x14ac:dyDescent="0.2">
      <c r="A60" s="56"/>
      <c r="B60" s="56"/>
      <c r="C60" s="56"/>
      <c r="D60" s="56"/>
      <c r="E60" s="67"/>
      <c r="F60" s="56"/>
      <c r="G60" s="56"/>
      <c r="H60" s="56"/>
      <c r="I60" s="58"/>
      <c r="J60" s="58"/>
      <c r="K60" s="56"/>
    </row>
    <row r="61" spans="1:11" ht="15.75" customHeight="1" x14ac:dyDescent="0.2">
      <c r="A61" s="56"/>
      <c r="B61" s="56"/>
      <c r="C61" s="56"/>
      <c r="D61" s="56"/>
      <c r="E61" s="67"/>
      <c r="F61" s="56"/>
      <c r="G61" s="56"/>
      <c r="H61" s="56"/>
      <c r="I61" s="58"/>
      <c r="J61" s="58"/>
      <c r="K61" s="56"/>
    </row>
    <row r="62" spans="1:11" ht="15.75" customHeight="1" x14ac:dyDescent="0.2">
      <c r="A62" s="56"/>
      <c r="B62" s="56"/>
      <c r="C62" s="56"/>
      <c r="D62" s="56"/>
      <c r="E62" s="67"/>
      <c r="F62" s="56"/>
      <c r="G62" s="56"/>
      <c r="H62" s="56"/>
      <c r="I62" s="58"/>
      <c r="J62" s="58"/>
      <c r="K62" s="56"/>
    </row>
    <row r="63" spans="1:11" ht="15.75" customHeight="1" x14ac:dyDescent="0.2">
      <c r="A63" s="56"/>
      <c r="B63" s="56"/>
      <c r="C63" s="56"/>
      <c r="D63" s="56"/>
      <c r="E63" s="67"/>
      <c r="F63" s="56"/>
      <c r="G63" s="56"/>
      <c r="H63" s="56"/>
      <c r="I63" s="58"/>
      <c r="J63" s="58"/>
      <c r="K63" s="56"/>
    </row>
    <row r="64" spans="1:11" ht="15.75" customHeight="1" x14ac:dyDescent="0.2">
      <c r="A64" s="56"/>
      <c r="B64" s="56"/>
      <c r="C64" s="56"/>
      <c r="D64" s="56"/>
      <c r="E64" s="67"/>
      <c r="F64" s="56"/>
      <c r="G64" s="56"/>
      <c r="H64" s="56"/>
      <c r="I64" s="58"/>
      <c r="J64" s="58"/>
      <c r="K64" s="56"/>
    </row>
    <row r="65" spans="1:11" ht="15.75" customHeight="1" x14ac:dyDescent="0.2">
      <c r="A65" s="56"/>
      <c r="B65" s="56"/>
      <c r="C65" s="56"/>
      <c r="D65" s="56"/>
      <c r="E65" s="67"/>
      <c r="F65" s="56"/>
      <c r="G65" s="56"/>
      <c r="H65" s="56"/>
      <c r="I65" s="58"/>
      <c r="J65" s="58"/>
      <c r="K65" s="56"/>
    </row>
    <row r="66" spans="1:11" ht="15.75" customHeight="1" x14ac:dyDescent="0.2">
      <c r="A66" s="56"/>
      <c r="B66" s="56"/>
      <c r="C66" s="56"/>
      <c r="D66" s="56"/>
      <c r="E66" s="67"/>
      <c r="F66" s="56"/>
      <c r="G66" s="56"/>
      <c r="H66" s="56"/>
      <c r="I66" s="58"/>
      <c r="J66" s="58"/>
      <c r="K66" s="56"/>
    </row>
    <row r="67" spans="1:11" ht="15.75" customHeight="1" x14ac:dyDescent="0.2">
      <c r="A67" s="56"/>
      <c r="B67" s="56"/>
      <c r="C67" s="56"/>
      <c r="D67" s="56"/>
      <c r="E67" s="67"/>
      <c r="F67" s="56"/>
      <c r="G67" s="56"/>
      <c r="H67" s="56"/>
      <c r="I67" s="58"/>
      <c r="J67" s="58"/>
      <c r="K67" s="56"/>
    </row>
    <row r="68" spans="1:11" ht="15.75" customHeight="1" x14ac:dyDescent="0.2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</row>
    <row r="69" spans="1:11" ht="15.75" customHeight="1" x14ac:dyDescent="0.2">
      <c r="A69" s="56"/>
      <c r="B69" s="56"/>
      <c r="C69" s="56"/>
      <c r="D69" s="56"/>
      <c r="E69" s="67"/>
      <c r="F69" s="56"/>
      <c r="G69" s="56"/>
      <c r="H69" s="56"/>
      <c r="I69" s="58"/>
      <c r="J69" s="58"/>
      <c r="K69" s="56"/>
    </row>
    <row r="70" spans="1:11" ht="15.75" customHeight="1" x14ac:dyDescent="0.2">
      <c r="A70" s="56"/>
      <c r="B70" s="56"/>
      <c r="C70" s="56"/>
      <c r="D70" s="56"/>
      <c r="E70" s="67"/>
      <c r="F70" s="56"/>
      <c r="G70" s="56"/>
      <c r="H70" s="56"/>
      <c r="I70" s="58"/>
      <c r="J70" s="58"/>
      <c r="K70" s="56"/>
    </row>
    <row r="71" spans="1:11" ht="15.75" customHeight="1" x14ac:dyDescent="0.2">
      <c r="A71" s="56"/>
      <c r="B71" s="56"/>
      <c r="C71" s="56"/>
      <c r="D71" s="56"/>
      <c r="E71" s="67"/>
      <c r="F71" s="56"/>
      <c r="G71" s="56"/>
      <c r="H71" s="56"/>
      <c r="I71" s="58"/>
      <c r="J71" s="58"/>
      <c r="K71" s="56"/>
    </row>
    <row r="72" spans="1:11" ht="15.75" customHeight="1" x14ac:dyDescent="0.2">
      <c r="A72" s="56"/>
      <c r="B72" s="56"/>
      <c r="C72" s="56"/>
      <c r="D72" s="56"/>
      <c r="E72" s="67"/>
      <c r="F72" s="56"/>
      <c r="G72" s="56"/>
      <c r="H72" s="56"/>
      <c r="I72" s="58"/>
      <c r="J72" s="58"/>
      <c r="K72" s="56"/>
    </row>
    <row r="73" spans="1:11" ht="15.75" customHeight="1" x14ac:dyDescent="0.2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</row>
    <row r="74" spans="1:11" ht="15.75" customHeight="1" x14ac:dyDescent="0.2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</row>
    <row r="75" spans="1:11" ht="15.75" customHeight="1" x14ac:dyDescent="0.2">
      <c r="A75" s="56"/>
      <c r="B75" s="56"/>
      <c r="C75" s="56"/>
      <c r="D75" s="56"/>
      <c r="E75" s="67"/>
      <c r="F75" s="56"/>
      <c r="G75" s="56"/>
      <c r="H75" s="56"/>
      <c r="I75" s="58"/>
      <c r="J75" s="58"/>
      <c r="K75" s="56"/>
    </row>
    <row r="76" spans="1:11" ht="15.75" customHeight="1" x14ac:dyDescent="0.2">
      <c r="A76" s="56"/>
      <c r="B76" s="56"/>
      <c r="C76" s="56"/>
      <c r="D76" s="56"/>
      <c r="E76" s="67"/>
      <c r="F76" s="56"/>
      <c r="G76" s="56"/>
      <c r="H76" s="56"/>
      <c r="I76" s="58"/>
      <c r="J76" s="58"/>
      <c r="K76" s="56"/>
    </row>
    <row r="77" spans="1:11" ht="15.75" customHeight="1" x14ac:dyDescent="0.2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</row>
    <row r="78" spans="1:11" ht="15.75" customHeight="1" x14ac:dyDescent="0.2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</row>
    <row r="79" spans="1:11" ht="15.75" customHeight="1" x14ac:dyDescent="0.2">
      <c r="A79" s="56"/>
      <c r="B79" s="56"/>
      <c r="C79" s="56"/>
      <c r="D79" s="56"/>
      <c r="E79" s="56"/>
      <c r="F79" s="56"/>
      <c r="G79" s="56"/>
      <c r="H79" s="56"/>
      <c r="I79" s="58"/>
      <c r="J79" s="58"/>
      <c r="K79" s="56"/>
    </row>
  </sheetData>
  <mergeCells count="13">
    <mergeCell ref="E60:E67"/>
    <mergeCell ref="E69:E72"/>
    <mergeCell ref="E75:E76"/>
    <mergeCell ref="A1:E1"/>
    <mergeCell ref="A3:D3"/>
    <mergeCell ref="E7:E58"/>
    <mergeCell ref="A11:D11"/>
    <mergeCell ref="A18:D18"/>
    <mergeCell ref="A25:D25"/>
    <mergeCell ref="A32:D32"/>
    <mergeCell ref="A39:D39"/>
    <mergeCell ref="A46:D46"/>
    <mergeCell ref="A53:D5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8"/>
  <sheetViews>
    <sheetView showGridLines="0" view="pageBreakPreview" topLeftCell="A47" zoomScaleNormal="100" workbookViewId="0">
      <selection activeCell="G73" sqref="G73"/>
    </sheetView>
  </sheetViews>
  <sheetFormatPr baseColWidth="10" defaultColWidth="8.6640625" defaultRowHeight="15" x14ac:dyDescent="0.2"/>
  <cols>
    <col min="1" max="1" width="10" style="15" customWidth="1"/>
    <col min="2" max="2" width="11" style="15" customWidth="1"/>
    <col min="3" max="4" width="14" style="15" customWidth="1"/>
    <col min="5" max="6" width="12" style="15" customWidth="1"/>
    <col min="7" max="7" width="19.6640625" style="15" customWidth="1"/>
    <col min="8" max="8" width="16" style="15" customWidth="1"/>
    <col min="9" max="9" width="14" style="15" customWidth="1"/>
    <col min="10" max="10" width="19" style="15" customWidth="1"/>
  </cols>
  <sheetData>
    <row r="1" spans="1:10" ht="21.75" customHeight="1" x14ac:dyDescent="0.2">
      <c r="A1" s="14" t="s">
        <v>232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" customHeight="1" x14ac:dyDescent="0.2">
      <c r="A2" s="69" t="s">
        <v>233</v>
      </c>
      <c r="B2" s="69"/>
      <c r="C2" s="69"/>
      <c r="D2" s="69"/>
      <c r="E2" s="69"/>
      <c r="F2" s="69"/>
      <c r="G2" s="69"/>
      <c r="H2" s="69"/>
      <c r="I2" s="69"/>
      <c r="J2" s="69"/>
    </row>
    <row r="4" spans="1:10" ht="15" customHeight="1" x14ac:dyDescent="0.2">
      <c r="A4" s="70" t="s">
        <v>186</v>
      </c>
      <c r="B4" s="70"/>
      <c r="C4" s="70"/>
      <c r="D4" s="70"/>
      <c r="E4" s="70"/>
      <c r="F4" s="70"/>
      <c r="G4" s="70"/>
      <c r="H4" s="70"/>
      <c r="I4" s="70"/>
      <c r="J4" s="70"/>
    </row>
    <row r="5" spans="1:10" ht="15" customHeight="1" x14ac:dyDescent="0.2">
      <c r="A5" s="59" t="s">
        <v>64</v>
      </c>
      <c r="B5" s="59" t="s">
        <v>234</v>
      </c>
      <c r="C5" s="59" t="s">
        <v>69</v>
      </c>
      <c r="D5" s="59" t="s">
        <v>70</v>
      </c>
      <c r="E5" s="59" t="s">
        <v>235</v>
      </c>
      <c r="F5" s="59" t="s">
        <v>236</v>
      </c>
      <c r="G5" s="59" t="s">
        <v>8</v>
      </c>
      <c r="H5" s="59" t="s">
        <v>237</v>
      </c>
      <c r="I5" s="52" t="s">
        <v>65</v>
      </c>
      <c r="J5" s="52" t="s">
        <v>67</v>
      </c>
    </row>
    <row r="6" spans="1:10" ht="15" customHeight="1" x14ac:dyDescent="0.2">
      <c r="A6" s="21">
        <v>1</v>
      </c>
      <c r="B6" s="21">
        <v>1</v>
      </c>
      <c r="C6" s="60" t="s">
        <v>101</v>
      </c>
      <c r="D6" s="60" t="s">
        <v>102</v>
      </c>
      <c r="E6" s="61"/>
      <c r="F6" s="61"/>
      <c r="G6" s="71" t="s">
        <v>27</v>
      </c>
      <c r="H6" s="21" t="str">
        <f t="shared" ref="H6:H15" si="0">IF(OR(E6="",F6=""),"",IF(E6&gt;F6,C6&amp;" win",IF(F6&gt;E6,D6&amp;" win","Draw")))</f>
        <v/>
      </c>
      <c r="I6" s="62" t="str">
        <f>IFERROR(INDEX('Match Schedule'!$B$6:$B$79,MATCH(A6,'Match Schedule'!#REF!,0)),"")</f>
        <v/>
      </c>
      <c r="J6" s="63" t="str">
        <f>IFERROR(INDEX('Match Schedule'!$D$6:$D$79,MATCH(A6,'Match Schedule'!#REF!,0)),"")</f>
        <v/>
      </c>
    </row>
    <row r="7" spans="1:10" ht="15" customHeight="1" x14ac:dyDescent="0.2">
      <c r="A7" s="21">
        <v>2</v>
      </c>
      <c r="B7" s="21">
        <v>1</v>
      </c>
      <c r="C7" s="60" t="s">
        <v>77</v>
      </c>
      <c r="D7" s="60" t="s">
        <v>78</v>
      </c>
      <c r="E7" s="61"/>
      <c r="F7" s="61"/>
      <c r="G7" s="71"/>
      <c r="H7" s="21" t="str">
        <f t="shared" si="0"/>
        <v/>
      </c>
      <c r="I7" s="62" t="str">
        <f>IFERROR(INDEX('Match Schedule'!$B$6:$B$79,MATCH(A7,'Match Schedule'!#REF!,0)),"")</f>
        <v/>
      </c>
      <c r="J7" s="63" t="str">
        <f>IFERROR(INDEX('Match Schedule'!$D$6:$D$79,MATCH(A7,'Match Schedule'!#REF!,0)),"")</f>
        <v/>
      </c>
    </row>
    <row r="8" spans="1:10" ht="15" customHeight="1" x14ac:dyDescent="0.2">
      <c r="A8" s="21">
        <v>3</v>
      </c>
      <c r="B8" s="21">
        <v>2</v>
      </c>
      <c r="C8" s="60" t="s">
        <v>110</v>
      </c>
      <c r="D8" s="60" t="s">
        <v>102</v>
      </c>
      <c r="E8" s="61"/>
      <c r="F8" s="61"/>
      <c r="G8" s="71"/>
      <c r="H8" s="21" t="str">
        <f t="shared" si="0"/>
        <v/>
      </c>
      <c r="I8" s="62" t="str">
        <f>IFERROR(INDEX('Match Schedule'!$B$6:$B$79,MATCH(A8,'Match Schedule'!#REF!,0)),"")</f>
        <v/>
      </c>
      <c r="J8" s="63" t="str">
        <f>IFERROR(INDEX('Match Schedule'!$D$6:$D$79,MATCH(A8,'Match Schedule'!#REF!,0)),"")</f>
        <v/>
      </c>
    </row>
    <row r="9" spans="1:10" ht="15" customHeight="1" x14ac:dyDescent="0.2">
      <c r="A9" s="21">
        <v>4</v>
      </c>
      <c r="B9" s="21">
        <v>2</v>
      </c>
      <c r="C9" s="60" t="s">
        <v>101</v>
      </c>
      <c r="D9" s="60" t="s">
        <v>77</v>
      </c>
      <c r="E9" s="61"/>
      <c r="F9" s="61"/>
      <c r="G9" s="71"/>
      <c r="H9" s="21" t="str">
        <f t="shared" si="0"/>
        <v/>
      </c>
      <c r="I9" s="62" t="str">
        <f>IFERROR(INDEX('Match Schedule'!$B$6:$B$79,MATCH(A9,'Match Schedule'!#REF!,0)),"")</f>
        <v/>
      </c>
      <c r="J9" s="63" t="str">
        <f>IFERROR(INDEX('Match Schedule'!$D$6:$D$79,MATCH(A9,'Match Schedule'!#REF!,0)),"")</f>
        <v/>
      </c>
    </row>
    <row r="10" spans="1:10" ht="15" customHeight="1" x14ac:dyDescent="0.2">
      <c r="A10" s="21">
        <v>5</v>
      </c>
      <c r="B10" s="21">
        <v>3</v>
      </c>
      <c r="C10" s="60" t="s">
        <v>110</v>
      </c>
      <c r="D10" s="60" t="s">
        <v>78</v>
      </c>
      <c r="E10" s="61"/>
      <c r="F10" s="61"/>
      <c r="G10" s="71"/>
      <c r="H10" s="21" t="str">
        <f t="shared" si="0"/>
        <v/>
      </c>
      <c r="I10" s="62" t="str">
        <f>IFERROR(INDEX('Match Schedule'!$B$6:$B$79,MATCH(A10,'Match Schedule'!#REF!,0)),"")</f>
        <v/>
      </c>
      <c r="J10" s="63" t="str">
        <f>IFERROR(INDEX('Match Schedule'!$D$6:$D$79,MATCH(A10,'Match Schedule'!#REF!,0)),"")</f>
        <v/>
      </c>
    </row>
    <row r="11" spans="1:10" ht="15" customHeight="1" x14ac:dyDescent="0.2">
      <c r="A11" s="21">
        <v>6</v>
      </c>
      <c r="B11" s="21">
        <v>3</v>
      </c>
      <c r="C11" s="60" t="s">
        <v>102</v>
      </c>
      <c r="D11" s="60" t="s">
        <v>77</v>
      </c>
      <c r="E11" s="61"/>
      <c r="F11" s="61"/>
      <c r="G11" s="71"/>
      <c r="H11" s="21" t="str">
        <f t="shared" si="0"/>
        <v/>
      </c>
      <c r="I11" s="62" t="str">
        <f>IFERROR(INDEX('Match Schedule'!$B$6:$B$79,MATCH(A11,'Match Schedule'!#REF!,0)),"")</f>
        <v/>
      </c>
      <c r="J11" s="63" t="str">
        <f>IFERROR(INDEX('Match Schedule'!$D$6:$D$79,MATCH(A11,'Match Schedule'!#REF!,0)),"")</f>
        <v/>
      </c>
    </row>
    <row r="12" spans="1:10" ht="15" customHeight="1" x14ac:dyDescent="0.2">
      <c r="A12" s="21">
        <v>7</v>
      </c>
      <c r="B12" s="21">
        <v>4</v>
      </c>
      <c r="C12" s="60" t="s">
        <v>110</v>
      </c>
      <c r="D12" s="60" t="s">
        <v>77</v>
      </c>
      <c r="E12" s="61"/>
      <c r="F12" s="61"/>
      <c r="G12" s="71"/>
      <c r="H12" s="21" t="str">
        <f t="shared" si="0"/>
        <v/>
      </c>
      <c r="I12" s="62" t="str">
        <f>IFERROR(INDEX('Match Schedule'!$B$6:$B$79,MATCH(A12,'Match Schedule'!#REF!,0)),"")</f>
        <v/>
      </c>
      <c r="J12" s="63" t="str">
        <f>IFERROR(INDEX('Match Schedule'!$D$6:$D$79,MATCH(A12,'Match Schedule'!#REF!,0)),"")</f>
        <v/>
      </c>
    </row>
    <row r="13" spans="1:10" ht="15" customHeight="1" x14ac:dyDescent="0.2">
      <c r="A13" s="21">
        <v>8</v>
      </c>
      <c r="B13" s="21">
        <v>4</v>
      </c>
      <c r="C13" s="60" t="s">
        <v>78</v>
      </c>
      <c r="D13" s="60" t="s">
        <v>101</v>
      </c>
      <c r="E13" s="61"/>
      <c r="F13" s="61"/>
      <c r="G13" s="71"/>
      <c r="H13" s="21" t="str">
        <f t="shared" si="0"/>
        <v/>
      </c>
      <c r="I13" s="62" t="str">
        <f>IFERROR(INDEX('Match Schedule'!$B$6:$B$79,MATCH(A13,'Match Schedule'!#REF!,0)),"")</f>
        <v/>
      </c>
      <c r="J13" s="63" t="str">
        <f>IFERROR(INDEX('Match Schedule'!$D$6:$D$79,MATCH(A13,'Match Schedule'!#REF!,0)),"")</f>
        <v/>
      </c>
    </row>
    <row r="14" spans="1:10" ht="15" customHeight="1" x14ac:dyDescent="0.2">
      <c r="A14" s="21">
        <v>9</v>
      </c>
      <c r="B14" s="21">
        <v>5</v>
      </c>
      <c r="C14" s="60" t="s">
        <v>110</v>
      </c>
      <c r="D14" s="60" t="s">
        <v>101</v>
      </c>
      <c r="E14" s="61"/>
      <c r="F14" s="61"/>
      <c r="G14" s="71"/>
      <c r="H14" s="21" t="str">
        <f t="shared" si="0"/>
        <v/>
      </c>
      <c r="I14" s="62" t="str">
        <f>IFERROR(INDEX('Match Schedule'!$B$6:$B$79,MATCH(A14,'Match Schedule'!#REF!,0)),"")</f>
        <v/>
      </c>
      <c r="J14" s="63" t="str">
        <f>IFERROR(INDEX('Match Schedule'!$D$6:$D$79,MATCH(A14,'Match Schedule'!#REF!,0)),"")</f>
        <v/>
      </c>
    </row>
    <row r="15" spans="1:10" ht="15" customHeight="1" x14ac:dyDescent="0.2">
      <c r="A15" s="21">
        <v>10</v>
      </c>
      <c r="B15" s="21">
        <v>5</v>
      </c>
      <c r="C15" s="60" t="s">
        <v>78</v>
      </c>
      <c r="D15" s="60" t="s">
        <v>102</v>
      </c>
      <c r="E15" s="61"/>
      <c r="F15" s="61"/>
      <c r="G15" s="71"/>
      <c r="H15" s="21" t="str">
        <f t="shared" si="0"/>
        <v/>
      </c>
      <c r="I15" s="62" t="str">
        <f>IFERROR(INDEX('Match Schedule'!$B$6:$B$79,MATCH(A15,'Match Schedule'!#REF!,0)),"")</f>
        <v/>
      </c>
      <c r="J15" s="63" t="str">
        <f>IFERROR(INDEX('Match Schedule'!$D$6:$D$79,MATCH(A15,'Match Schedule'!#REF!,0)),"")</f>
        <v/>
      </c>
    </row>
    <row r="17" spans="1:10" ht="15" customHeight="1" x14ac:dyDescent="0.2">
      <c r="A17" s="70" t="s">
        <v>197</v>
      </c>
      <c r="B17" s="70"/>
      <c r="C17" s="70"/>
      <c r="D17" s="70"/>
      <c r="E17" s="70"/>
      <c r="F17" s="70"/>
      <c r="G17" s="70"/>
      <c r="H17" s="70"/>
      <c r="I17" s="70"/>
      <c r="J17" s="70"/>
    </row>
    <row r="18" spans="1:10" ht="15" customHeight="1" x14ac:dyDescent="0.2">
      <c r="A18" s="59" t="s">
        <v>64</v>
      </c>
      <c r="B18" s="59" t="s">
        <v>234</v>
      </c>
      <c r="C18" s="59" t="s">
        <v>69</v>
      </c>
      <c r="D18" s="59" t="s">
        <v>70</v>
      </c>
      <c r="E18" s="59" t="s">
        <v>235</v>
      </c>
      <c r="F18" s="59" t="s">
        <v>236</v>
      </c>
      <c r="G18" s="59" t="s">
        <v>8</v>
      </c>
      <c r="H18" s="59" t="s">
        <v>237</v>
      </c>
      <c r="I18" s="52" t="s">
        <v>65</v>
      </c>
      <c r="J18" s="52" t="s">
        <v>67</v>
      </c>
    </row>
    <row r="19" spans="1:10" ht="15" customHeight="1" x14ac:dyDescent="0.2">
      <c r="A19" s="21">
        <v>11</v>
      </c>
      <c r="B19" s="21">
        <v>1</v>
      </c>
      <c r="C19" s="60" t="s">
        <v>97</v>
      </c>
      <c r="D19" s="60" t="s">
        <v>98</v>
      </c>
      <c r="E19" s="61"/>
      <c r="F19" s="61"/>
      <c r="G19" s="71" t="s">
        <v>27</v>
      </c>
      <c r="H19" s="21" t="str">
        <f t="shared" ref="H19:H24" si="1">IF(OR(E19="",F19=""),"",IF(E19&gt;F19,C19&amp;" win",IF(F19&gt;E19,D19&amp;" win","Draw")))</f>
        <v/>
      </c>
      <c r="I19" s="62" t="str">
        <f>IFERROR(INDEX('Match Schedule'!$B$6:$B$79,MATCH(A19,'Match Schedule'!#REF!,0)),"")</f>
        <v/>
      </c>
      <c r="J19" s="63" t="str">
        <f>IFERROR(INDEX('Match Schedule'!$D$6:$D$79,MATCH(A19,'Match Schedule'!#REF!,0)),"")</f>
        <v/>
      </c>
    </row>
    <row r="20" spans="1:10" ht="15" customHeight="1" x14ac:dyDescent="0.2">
      <c r="A20" s="21">
        <v>12</v>
      </c>
      <c r="B20" s="21">
        <v>1</v>
      </c>
      <c r="C20" s="60" t="s">
        <v>90</v>
      </c>
      <c r="D20" s="60" t="s">
        <v>91</v>
      </c>
      <c r="E20" s="61"/>
      <c r="F20" s="61"/>
      <c r="G20" s="71"/>
      <c r="H20" s="21" t="str">
        <f t="shared" si="1"/>
        <v/>
      </c>
      <c r="I20" s="62" t="str">
        <f>IFERROR(INDEX('Match Schedule'!$B$6:$B$79,MATCH(A20,'Match Schedule'!#REF!,0)),"")</f>
        <v/>
      </c>
      <c r="J20" s="63" t="str">
        <f>IFERROR(INDEX('Match Schedule'!$D$6:$D$79,MATCH(A20,'Match Schedule'!#REF!,0)),"")</f>
        <v/>
      </c>
    </row>
    <row r="21" spans="1:10" ht="15" customHeight="1" x14ac:dyDescent="0.2">
      <c r="A21" s="21">
        <v>13</v>
      </c>
      <c r="B21" s="21">
        <v>2</v>
      </c>
      <c r="C21" s="60" t="s">
        <v>97</v>
      </c>
      <c r="D21" s="60" t="s">
        <v>91</v>
      </c>
      <c r="E21" s="61"/>
      <c r="F21" s="61"/>
      <c r="G21" s="71"/>
      <c r="H21" s="21" t="str">
        <f t="shared" si="1"/>
        <v/>
      </c>
      <c r="I21" s="62" t="str">
        <f>IFERROR(INDEX('Match Schedule'!$B$6:$B$79,MATCH(A21,'Match Schedule'!#REF!,0)),"")</f>
        <v/>
      </c>
      <c r="J21" s="63" t="str">
        <f>IFERROR(INDEX('Match Schedule'!$D$6:$D$79,MATCH(A21,'Match Schedule'!#REF!,0)),"")</f>
        <v/>
      </c>
    </row>
    <row r="22" spans="1:10" ht="15" customHeight="1" x14ac:dyDescent="0.2">
      <c r="A22" s="21">
        <v>14</v>
      </c>
      <c r="B22" s="21">
        <v>2</v>
      </c>
      <c r="C22" s="60" t="s">
        <v>98</v>
      </c>
      <c r="D22" s="60" t="s">
        <v>90</v>
      </c>
      <c r="E22" s="61"/>
      <c r="F22" s="61"/>
      <c r="G22" s="71"/>
      <c r="H22" s="21" t="str">
        <f t="shared" si="1"/>
        <v/>
      </c>
      <c r="I22" s="62" t="str">
        <f>IFERROR(INDEX('Match Schedule'!$B$6:$B$79,MATCH(A22,'Match Schedule'!#REF!,0)),"")</f>
        <v/>
      </c>
      <c r="J22" s="63" t="str">
        <f>IFERROR(INDEX('Match Schedule'!$D$6:$D$79,MATCH(A22,'Match Schedule'!#REF!,0)),"")</f>
        <v/>
      </c>
    </row>
    <row r="23" spans="1:10" ht="15" customHeight="1" x14ac:dyDescent="0.2">
      <c r="A23" s="21">
        <v>15</v>
      </c>
      <c r="B23" s="21">
        <v>3</v>
      </c>
      <c r="C23" s="60" t="s">
        <v>97</v>
      </c>
      <c r="D23" s="60" t="s">
        <v>90</v>
      </c>
      <c r="E23" s="61"/>
      <c r="F23" s="61"/>
      <c r="G23" s="71"/>
      <c r="H23" s="21" t="str">
        <f t="shared" si="1"/>
        <v/>
      </c>
      <c r="I23" s="62" t="str">
        <f>IFERROR(INDEX('Match Schedule'!$B$6:$B$79,MATCH(A23,'Match Schedule'!#REF!,0)),"")</f>
        <v/>
      </c>
      <c r="J23" s="63" t="str">
        <f>IFERROR(INDEX('Match Schedule'!$D$6:$D$79,MATCH(A23,'Match Schedule'!#REF!,0)),"")</f>
        <v/>
      </c>
    </row>
    <row r="24" spans="1:10" ht="15" customHeight="1" x14ac:dyDescent="0.2">
      <c r="A24" s="21">
        <v>16</v>
      </c>
      <c r="B24" s="21">
        <v>3</v>
      </c>
      <c r="C24" s="60" t="s">
        <v>91</v>
      </c>
      <c r="D24" s="60" t="s">
        <v>98</v>
      </c>
      <c r="E24" s="61"/>
      <c r="F24" s="61"/>
      <c r="G24" s="71"/>
      <c r="H24" s="21" t="str">
        <f t="shared" si="1"/>
        <v/>
      </c>
      <c r="I24" s="62" t="str">
        <f>IFERROR(INDEX('Match Schedule'!$B$6:$B$79,MATCH(A24,'Match Schedule'!#REF!,0)),"")</f>
        <v/>
      </c>
      <c r="J24" s="63" t="str">
        <f>IFERROR(INDEX('Match Schedule'!$D$6:$D$79,MATCH(A24,'Match Schedule'!#REF!,0)),"")</f>
        <v/>
      </c>
    </row>
    <row r="26" spans="1:10" ht="15" customHeight="1" x14ac:dyDescent="0.2">
      <c r="A26" s="70" t="s">
        <v>202</v>
      </c>
      <c r="B26" s="70"/>
      <c r="C26" s="70"/>
      <c r="D26" s="70"/>
      <c r="E26" s="70"/>
      <c r="F26" s="70"/>
      <c r="G26" s="70"/>
      <c r="H26" s="70"/>
      <c r="I26" s="70"/>
      <c r="J26" s="70"/>
    </row>
    <row r="27" spans="1:10" ht="15" customHeight="1" x14ac:dyDescent="0.2">
      <c r="A27" s="59" t="s">
        <v>64</v>
      </c>
      <c r="B27" s="59" t="s">
        <v>234</v>
      </c>
      <c r="C27" s="59" t="s">
        <v>69</v>
      </c>
      <c r="D27" s="59" t="s">
        <v>70</v>
      </c>
      <c r="E27" s="59" t="s">
        <v>235</v>
      </c>
      <c r="F27" s="59" t="s">
        <v>236</v>
      </c>
      <c r="G27" s="59" t="s">
        <v>8</v>
      </c>
      <c r="H27" s="59" t="s">
        <v>237</v>
      </c>
      <c r="I27" s="52" t="s">
        <v>65</v>
      </c>
      <c r="J27" s="52" t="s">
        <v>67</v>
      </c>
    </row>
    <row r="28" spans="1:10" ht="15" customHeight="1" x14ac:dyDescent="0.2">
      <c r="A28" s="21">
        <v>17</v>
      </c>
      <c r="B28" s="21">
        <v>1</v>
      </c>
      <c r="C28" s="60" t="s">
        <v>106</v>
      </c>
      <c r="D28" s="60" t="s">
        <v>107</v>
      </c>
      <c r="E28" s="61"/>
      <c r="F28" s="61"/>
      <c r="G28" s="71" t="s">
        <v>27</v>
      </c>
      <c r="H28" s="21" t="str">
        <f t="shared" ref="H28:H33" si="2">IF(OR(E28="",F28=""),"",IF(E28&gt;F28,C28&amp;" win",IF(F28&gt;E28,D28&amp;" win","Draw")))</f>
        <v/>
      </c>
      <c r="I28" s="62" t="str">
        <f>IFERROR(INDEX('Match Schedule'!$B$6:$B$79,MATCH(A28,'Match Schedule'!#REF!,0)),"")</f>
        <v/>
      </c>
      <c r="J28" s="63" t="str">
        <f>IFERROR(INDEX('Match Schedule'!$D$6:$D$79,MATCH(A28,'Match Schedule'!#REF!,0)),"")</f>
        <v/>
      </c>
    </row>
    <row r="29" spans="1:10" ht="15" customHeight="1" x14ac:dyDescent="0.2">
      <c r="A29" s="21">
        <v>18</v>
      </c>
      <c r="B29" s="21">
        <v>1</v>
      </c>
      <c r="C29" s="60" t="s">
        <v>108</v>
      </c>
      <c r="D29" s="60" t="s">
        <v>109</v>
      </c>
      <c r="E29" s="61"/>
      <c r="F29" s="61"/>
      <c r="G29" s="71"/>
      <c r="H29" s="21" t="str">
        <f t="shared" si="2"/>
        <v/>
      </c>
      <c r="I29" s="62" t="str">
        <f>IFERROR(INDEX('Match Schedule'!$B$6:$B$79,MATCH(A29,'Match Schedule'!#REF!,0)),"")</f>
        <v/>
      </c>
      <c r="J29" s="63" t="str">
        <f>IFERROR(INDEX('Match Schedule'!$D$6:$D$79,MATCH(A29,'Match Schedule'!#REF!,0)),"")</f>
        <v/>
      </c>
    </row>
    <row r="30" spans="1:10" ht="15" customHeight="1" x14ac:dyDescent="0.2">
      <c r="A30" s="21">
        <v>19</v>
      </c>
      <c r="B30" s="21">
        <v>2</v>
      </c>
      <c r="C30" s="60" t="s">
        <v>106</v>
      </c>
      <c r="D30" s="60" t="s">
        <v>109</v>
      </c>
      <c r="E30" s="61"/>
      <c r="F30" s="61"/>
      <c r="G30" s="71"/>
      <c r="H30" s="21" t="str">
        <f t="shared" si="2"/>
        <v/>
      </c>
      <c r="I30" s="62" t="str">
        <f>IFERROR(INDEX('Match Schedule'!$B$6:$B$79,MATCH(A30,'Match Schedule'!#REF!,0)),"")</f>
        <v/>
      </c>
      <c r="J30" s="63" t="str">
        <f>IFERROR(INDEX('Match Schedule'!$D$6:$D$79,MATCH(A30,'Match Schedule'!#REF!,0)),"")</f>
        <v/>
      </c>
    </row>
    <row r="31" spans="1:10" ht="15" customHeight="1" x14ac:dyDescent="0.2">
      <c r="A31" s="21">
        <v>20</v>
      </c>
      <c r="B31" s="21">
        <v>2</v>
      </c>
      <c r="C31" s="60" t="s">
        <v>107</v>
      </c>
      <c r="D31" s="60" t="s">
        <v>108</v>
      </c>
      <c r="E31" s="61"/>
      <c r="F31" s="61"/>
      <c r="G31" s="71"/>
      <c r="H31" s="21" t="str">
        <f t="shared" si="2"/>
        <v/>
      </c>
      <c r="I31" s="62" t="str">
        <f>IFERROR(INDEX('Match Schedule'!$B$6:$B$79,MATCH(A31,'Match Schedule'!#REF!,0)),"")</f>
        <v/>
      </c>
      <c r="J31" s="63" t="str">
        <f>IFERROR(INDEX('Match Schedule'!$D$6:$D$79,MATCH(A31,'Match Schedule'!#REF!,0)),"")</f>
        <v/>
      </c>
    </row>
    <row r="32" spans="1:10" ht="15" customHeight="1" x14ac:dyDescent="0.2">
      <c r="A32" s="21">
        <v>21</v>
      </c>
      <c r="B32" s="21">
        <v>3</v>
      </c>
      <c r="C32" s="60" t="s">
        <v>106</v>
      </c>
      <c r="D32" s="60" t="s">
        <v>108</v>
      </c>
      <c r="E32" s="61"/>
      <c r="F32" s="61"/>
      <c r="G32" s="71"/>
      <c r="H32" s="21" t="str">
        <f t="shared" si="2"/>
        <v/>
      </c>
      <c r="I32" s="62" t="str">
        <f>IFERROR(INDEX('Match Schedule'!$B$6:$B$79,MATCH(A32,'Match Schedule'!#REF!,0)),"")</f>
        <v/>
      </c>
      <c r="J32" s="63" t="str">
        <f>IFERROR(INDEX('Match Schedule'!$D$6:$D$79,MATCH(A32,'Match Schedule'!#REF!,0)),"")</f>
        <v/>
      </c>
    </row>
    <row r="33" spans="1:10" ht="15" customHeight="1" x14ac:dyDescent="0.2">
      <c r="A33" s="21">
        <v>22</v>
      </c>
      <c r="B33" s="21">
        <v>3</v>
      </c>
      <c r="C33" s="60" t="s">
        <v>109</v>
      </c>
      <c r="D33" s="60" t="s">
        <v>107</v>
      </c>
      <c r="E33" s="61"/>
      <c r="F33" s="61"/>
      <c r="G33" s="71"/>
      <c r="H33" s="21" t="str">
        <f t="shared" si="2"/>
        <v/>
      </c>
      <c r="I33" s="62" t="str">
        <f>IFERROR(INDEX('Match Schedule'!$B$6:$B$79,MATCH(A33,'Match Schedule'!#REF!,0)),"")</f>
        <v/>
      </c>
      <c r="J33" s="63" t="str">
        <f>IFERROR(INDEX('Match Schedule'!$D$6:$D$79,MATCH(A33,'Match Schedule'!#REF!,0)),"")</f>
        <v/>
      </c>
    </row>
    <row r="35" spans="1:10" ht="15" customHeight="1" x14ac:dyDescent="0.2">
      <c r="A35" s="70" t="s">
        <v>207</v>
      </c>
      <c r="B35" s="70"/>
      <c r="C35" s="70"/>
      <c r="D35" s="70"/>
      <c r="E35" s="70"/>
      <c r="F35" s="70"/>
      <c r="G35" s="70"/>
      <c r="H35" s="70"/>
      <c r="I35" s="70"/>
      <c r="J35" s="70"/>
    </row>
    <row r="36" spans="1:10" ht="15" customHeight="1" x14ac:dyDescent="0.2">
      <c r="A36" s="59" t="s">
        <v>64</v>
      </c>
      <c r="B36" s="59" t="s">
        <v>234</v>
      </c>
      <c r="C36" s="59" t="s">
        <v>69</v>
      </c>
      <c r="D36" s="59" t="s">
        <v>70</v>
      </c>
      <c r="E36" s="59" t="s">
        <v>235</v>
      </c>
      <c r="F36" s="59" t="s">
        <v>236</v>
      </c>
      <c r="G36" s="59" t="s">
        <v>8</v>
      </c>
      <c r="H36" s="59" t="s">
        <v>237</v>
      </c>
      <c r="I36" s="52" t="s">
        <v>65</v>
      </c>
      <c r="J36" s="52" t="s">
        <v>67</v>
      </c>
    </row>
    <row r="37" spans="1:10" ht="15" customHeight="1" x14ac:dyDescent="0.2">
      <c r="A37" s="21">
        <v>23</v>
      </c>
      <c r="B37" s="21">
        <v>1</v>
      </c>
      <c r="C37" s="60" t="s">
        <v>82</v>
      </c>
      <c r="D37" s="60" t="s">
        <v>83</v>
      </c>
      <c r="E37" s="61"/>
      <c r="F37" s="61"/>
      <c r="G37" s="71" t="s">
        <v>27</v>
      </c>
      <c r="H37" s="21" t="str">
        <f t="shared" ref="H37:H42" si="3">IF(OR(E37="",F37=""),"",IF(E37&gt;F37,C37&amp;" win",IF(F37&gt;E37,D37&amp;" win","Draw")))</f>
        <v/>
      </c>
      <c r="I37" s="62" t="str">
        <f>IFERROR(INDEX('Match Schedule'!$B$6:$B$79,MATCH(A37,'Match Schedule'!#REF!,0)),"")</f>
        <v/>
      </c>
      <c r="J37" s="63" t="str">
        <f>IFERROR(INDEX('Match Schedule'!$D$6:$D$79,MATCH(A37,'Match Schedule'!#REF!,0)),"")</f>
        <v/>
      </c>
    </row>
    <row r="38" spans="1:10" ht="15" customHeight="1" x14ac:dyDescent="0.2">
      <c r="A38" s="21">
        <v>24</v>
      </c>
      <c r="B38" s="21">
        <v>1</v>
      </c>
      <c r="C38" s="60" t="s">
        <v>95</v>
      </c>
      <c r="D38" s="60" t="s">
        <v>96</v>
      </c>
      <c r="E38" s="61"/>
      <c r="F38" s="61"/>
      <c r="G38" s="71"/>
      <c r="H38" s="21" t="str">
        <f t="shared" si="3"/>
        <v/>
      </c>
      <c r="I38" s="62" t="str">
        <f>IFERROR(INDEX('Match Schedule'!$B$6:$B$79,MATCH(A38,'Match Schedule'!#REF!,0)),"")</f>
        <v/>
      </c>
      <c r="J38" s="63" t="str">
        <f>IFERROR(INDEX('Match Schedule'!$D$6:$D$79,MATCH(A38,'Match Schedule'!#REF!,0)),"")</f>
        <v/>
      </c>
    </row>
    <row r="39" spans="1:10" ht="15" customHeight="1" x14ac:dyDescent="0.2">
      <c r="A39" s="21">
        <v>25</v>
      </c>
      <c r="B39" s="21">
        <v>2</v>
      </c>
      <c r="C39" s="60" t="s">
        <v>82</v>
      </c>
      <c r="D39" s="60" t="s">
        <v>96</v>
      </c>
      <c r="E39" s="61"/>
      <c r="F39" s="61"/>
      <c r="G39" s="71"/>
      <c r="H39" s="21" t="str">
        <f t="shared" si="3"/>
        <v/>
      </c>
      <c r="I39" s="62" t="str">
        <f>IFERROR(INDEX('Match Schedule'!$B$6:$B$79,MATCH(A39,'Match Schedule'!#REF!,0)),"")</f>
        <v/>
      </c>
      <c r="J39" s="63" t="str">
        <f>IFERROR(INDEX('Match Schedule'!$D$6:$D$79,MATCH(A39,'Match Schedule'!#REF!,0)),"")</f>
        <v/>
      </c>
    </row>
    <row r="40" spans="1:10" ht="15" customHeight="1" x14ac:dyDescent="0.2">
      <c r="A40" s="21">
        <v>26</v>
      </c>
      <c r="B40" s="21">
        <v>2</v>
      </c>
      <c r="C40" s="60" t="s">
        <v>83</v>
      </c>
      <c r="D40" s="60" t="s">
        <v>95</v>
      </c>
      <c r="E40" s="61"/>
      <c r="F40" s="61"/>
      <c r="G40" s="71"/>
      <c r="H40" s="21" t="str">
        <f t="shared" si="3"/>
        <v/>
      </c>
      <c r="I40" s="62" t="str">
        <f>IFERROR(INDEX('Match Schedule'!$B$6:$B$79,MATCH(A40,'Match Schedule'!#REF!,0)),"")</f>
        <v/>
      </c>
      <c r="J40" s="63" t="str">
        <f>IFERROR(INDEX('Match Schedule'!$D$6:$D$79,MATCH(A40,'Match Schedule'!#REF!,0)),"")</f>
        <v/>
      </c>
    </row>
    <row r="41" spans="1:10" ht="15" customHeight="1" x14ac:dyDescent="0.2">
      <c r="A41" s="21">
        <v>27</v>
      </c>
      <c r="B41" s="21">
        <v>3</v>
      </c>
      <c r="C41" s="60" t="s">
        <v>82</v>
      </c>
      <c r="D41" s="60" t="s">
        <v>95</v>
      </c>
      <c r="E41" s="61"/>
      <c r="F41" s="61"/>
      <c r="G41" s="71"/>
      <c r="H41" s="21" t="str">
        <f t="shared" si="3"/>
        <v/>
      </c>
      <c r="I41" s="62" t="str">
        <f>IFERROR(INDEX('Match Schedule'!$B$6:$B$79,MATCH(A41,'Match Schedule'!#REF!,0)),"")</f>
        <v/>
      </c>
      <c r="J41" s="63" t="str">
        <f>IFERROR(INDEX('Match Schedule'!$D$6:$D$79,MATCH(A41,'Match Schedule'!#REF!,0)),"")</f>
        <v/>
      </c>
    </row>
    <row r="42" spans="1:10" ht="15" customHeight="1" x14ac:dyDescent="0.2">
      <c r="A42" s="21">
        <v>28</v>
      </c>
      <c r="B42" s="21">
        <v>3</v>
      </c>
      <c r="C42" s="60" t="s">
        <v>96</v>
      </c>
      <c r="D42" s="60" t="s">
        <v>83</v>
      </c>
      <c r="E42" s="61"/>
      <c r="F42" s="61"/>
      <c r="G42" s="71"/>
      <c r="H42" s="21" t="str">
        <f t="shared" si="3"/>
        <v/>
      </c>
      <c r="I42" s="62" t="str">
        <f>IFERROR(INDEX('Match Schedule'!$B$6:$B$79,MATCH(A42,'Match Schedule'!#REF!,0)),"")</f>
        <v/>
      </c>
      <c r="J42" s="63" t="str">
        <f>IFERROR(INDEX('Match Schedule'!$D$6:$D$79,MATCH(A42,'Match Schedule'!#REF!,0)),"")</f>
        <v/>
      </c>
    </row>
    <row r="44" spans="1:10" ht="15" customHeight="1" x14ac:dyDescent="0.2">
      <c r="A44" s="70" t="s">
        <v>212</v>
      </c>
      <c r="B44" s="70"/>
      <c r="C44" s="70"/>
      <c r="D44" s="70"/>
      <c r="E44" s="70"/>
      <c r="F44" s="70"/>
      <c r="G44" s="70"/>
      <c r="H44" s="70"/>
      <c r="I44" s="70"/>
      <c r="J44" s="70"/>
    </row>
    <row r="45" spans="1:10" ht="15" customHeight="1" x14ac:dyDescent="0.2">
      <c r="A45" s="59" t="s">
        <v>64</v>
      </c>
      <c r="B45" s="59" t="s">
        <v>234</v>
      </c>
      <c r="C45" s="59" t="s">
        <v>69</v>
      </c>
      <c r="D45" s="59" t="s">
        <v>70</v>
      </c>
      <c r="E45" s="59" t="s">
        <v>235</v>
      </c>
      <c r="F45" s="59" t="s">
        <v>236</v>
      </c>
      <c r="G45" s="59" t="s">
        <v>8</v>
      </c>
      <c r="H45" s="59" t="s">
        <v>237</v>
      </c>
      <c r="I45" s="52" t="s">
        <v>65</v>
      </c>
      <c r="J45" s="52" t="s">
        <v>67</v>
      </c>
    </row>
    <row r="46" spans="1:10" ht="15" customHeight="1" x14ac:dyDescent="0.2">
      <c r="A46" s="21">
        <v>29</v>
      </c>
      <c r="B46" s="21">
        <v>1</v>
      </c>
      <c r="C46" s="60" t="s">
        <v>114</v>
      </c>
      <c r="D46" s="60" t="s">
        <v>115</v>
      </c>
      <c r="E46" s="61"/>
      <c r="F46" s="61"/>
      <c r="G46" s="71" t="s">
        <v>27</v>
      </c>
      <c r="H46" s="21" t="str">
        <f t="shared" ref="H46:H51" si="4">IF(OR(E46="",F46=""),"",IF(E46&gt;F46,C46&amp;" win",IF(F46&gt;E46,D46&amp;" win","Draw")))</f>
        <v/>
      </c>
      <c r="I46" s="62" t="str">
        <f>IFERROR(INDEX('Match Schedule'!$B$6:$B$79,MATCH(A46,'Match Schedule'!#REF!,0)),"")</f>
        <v/>
      </c>
      <c r="J46" s="63" t="str">
        <f>IFERROR(INDEX('Match Schedule'!$D$6:$D$79,MATCH(A46,'Match Schedule'!#REF!,0)),"")</f>
        <v/>
      </c>
    </row>
    <row r="47" spans="1:10" ht="15" customHeight="1" x14ac:dyDescent="0.2">
      <c r="A47" s="21">
        <v>30</v>
      </c>
      <c r="B47" s="21">
        <v>1</v>
      </c>
      <c r="C47" s="60" t="s">
        <v>112</v>
      </c>
      <c r="D47" s="60" t="s">
        <v>113</v>
      </c>
      <c r="E47" s="61"/>
      <c r="F47" s="61"/>
      <c r="G47" s="71"/>
      <c r="H47" s="21" t="str">
        <f t="shared" si="4"/>
        <v/>
      </c>
      <c r="I47" s="62" t="str">
        <f>IFERROR(INDEX('Match Schedule'!$B$6:$B$79,MATCH(A47,'Match Schedule'!#REF!,0)),"")</f>
        <v/>
      </c>
      <c r="J47" s="63" t="str">
        <f>IFERROR(INDEX('Match Schedule'!$D$6:$D$79,MATCH(A47,'Match Schedule'!#REF!,0)),"")</f>
        <v/>
      </c>
    </row>
    <row r="48" spans="1:10" ht="15" customHeight="1" x14ac:dyDescent="0.2">
      <c r="A48" s="21">
        <v>31</v>
      </c>
      <c r="B48" s="21">
        <v>2</v>
      </c>
      <c r="C48" s="60" t="s">
        <v>114</v>
      </c>
      <c r="D48" s="60" t="s">
        <v>113</v>
      </c>
      <c r="E48" s="61"/>
      <c r="F48" s="61"/>
      <c r="G48" s="71"/>
      <c r="H48" s="21" t="str">
        <f t="shared" si="4"/>
        <v/>
      </c>
      <c r="I48" s="62" t="str">
        <f>IFERROR(INDEX('Match Schedule'!$B$6:$B$79,MATCH(A48,'Match Schedule'!#REF!,0)),"")</f>
        <v/>
      </c>
      <c r="J48" s="63" t="str">
        <f>IFERROR(INDEX('Match Schedule'!$D$6:$D$79,MATCH(A48,'Match Schedule'!#REF!,0)),"")</f>
        <v/>
      </c>
    </row>
    <row r="49" spans="1:10" ht="15" customHeight="1" x14ac:dyDescent="0.2">
      <c r="A49" s="21">
        <v>32</v>
      </c>
      <c r="B49" s="21">
        <v>2</v>
      </c>
      <c r="C49" s="60" t="s">
        <v>115</v>
      </c>
      <c r="D49" s="60" t="s">
        <v>112</v>
      </c>
      <c r="E49" s="61"/>
      <c r="F49" s="61"/>
      <c r="G49" s="71"/>
      <c r="H49" s="21" t="str">
        <f t="shared" si="4"/>
        <v/>
      </c>
      <c r="I49" s="62" t="str">
        <f>IFERROR(INDEX('Match Schedule'!$B$6:$B$79,MATCH(A49,'Match Schedule'!#REF!,0)),"")</f>
        <v/>
      </c>
      <c r="J49" s="63" t="str">
        <f>IFERROR(INDEX('Match Schedule'!$D$6:$D$79,MATCH(A49,'Match Schedule'!#REF!,0)),"")</f>
        <v/>
      </c>
    </row>
    <row r="50" spans="1:10" ht="15" customHeight="1" x14ac:dyDescent="0.2">
      <c r="A50" s="21">
        <v>33</v>
      </c>
      <c r="B50" s="21">
        <v>3</v>
      </c>
      <c r="C50" s="60" t="s">
        <v>114</v>
      </c>
      <c r="D50" s="60" t="s">
        <v>112</v>
      </c>
      <c r="E50" s="61"/>
      <c r="F50" s="61"/>
      <c r="G50" s="71"/>
      <c r="H50" s="21" t="str">
        <f t="shared" si="4"/>
        <v/>
      </c>
      <c r="I50" s="62" t="str">
        <f>IFERROR(INDEX('Match Schedule'!$B$6:$B$79,MATCH(A50,'Match Schedule'!#REF!,0)),"")</f>
        <v/>
      </c>
      <c r="J50" s="63" t="str">
        <f>IFERROR(INDEX('Match Schedule'!$D$6:$D$79,MATCH(A50,'Match Schedule'!#REF!,0)),"")</f>
        <v/>
      </c>
    </row>
    <row r="51" spans="1:10" ht="15" customHeight="1" x14ac:dyDescent="0.2">
      <c r="A51" s="21">
        <v>34</v>
      </c>
      <c r="B51" s="21">
        <v>3</v>
      </c>
      <c r="C51" s="60" t="s">
        <v>113</v>
      </c>
      <c r="D51" s="60" t="s">
        <v>115</v>
      </c>
      <c r="E51" s="61"/>
      <c r="F51" s="61"/>
      <c r="G51" s="71"/>
      <c r="H51" s="21" t="str">
        <f t="shared" si="4"/>
        <v/>
      </c>
      <c r="I51" s="62" t="str">
        <f>IFERROR(INDEX('Match Schedule'!$B$6:$B$79,MATCH(A51,'Match Schedule'!#REF!,0)),"")</f>
        <v/>
      </c>
      <c r="J51" s="63" t="str">
        <f>IFERROR(INDEX('Match Schedule'!$D$6:$D$79,MATCH(A51,'Match Schedule'!#REF!,0)),"")</f>
        <v/>
      </c>
    </row>
    <row r="53" spans="1:10" ht="15" customHeight="1" x14ac:dyDescent="0.2">
      <c r="A53" s="70" t="s">
        <v>217</v>
      </c>
      <c r="B53" s="70"/>
      <c r="C53" s="70"/>
      <c r="D53" s="70"/>
      <c r="E53" s="70"/>
      <c r="F53" s="70"/>
      <c r="G53" s="70"/>
      <c r="H53" s="70"/>
      <c r="I53" s="70"/>
      <c r="J53" s="70"/>
    </row>
    <row r="54" spans="1:10" ht="15" customHeight="1" x14ac:dyDescent="0.2">
      <c r="A54" s="59" t="s">
        <v>64</v>
      </c>
      <c r="B54" s="59" t="s">
        <v>234</v>
      </c>
      <c r="C54" s="59" t="s">
        <v>69</v>
      </c>
      <c r="D54" s="59" t="s">
        <v>70</v>
      </c>
      <c r="E54" s="59" t="s">
        <v>235</v>
      </c>
      <c r="F54" s="59" t="s">
        <v>236</v>
      </c>
      <c r="G54" s="59" t="s">
        <v>8</v>
      </c>
      <c r="H54" s="59" t="s">
        <v>237</v>
      </c>
      <c r="I54" s="52" t="s">
        <v>65</v>
      </c>
      <c r="J54" s="52" t="s">
        <v>67</v>
      </c>
    </row>
    <row r="55" spans="1:10" ht="15" customHeight="1" x14ac:dyDescent="0.2">
      <c r="A55" s="21">
        <v>35</v>
      </c>
      <c r="B55" s="21">
        <v>1</v>
      </c>
      <c r="C55" s="60" t="s">
        <v>93</v>
      </c>
      <c r="D55" s="60" t="s">
        <v>94</v>
      </c>
      <c r="E55" s="61"/>
      <c r="F55" s="61"/>
      <c r="G55" s="71" t="s">
        <v>27</v>
      </c>
      <c r="H55" s="21" t="str">
        <f t="shared" ref="H55:H60" si="5">IF(OR(E55="",F55=""),"",IF(E55&gt;F55,C55&amp;" win",IF(F55&gt;E55,D55&amp;" win","Draw")))</f>
        <v/>
      </c>
      <c r="I55" s="62" t="str">
        <f>IFERROR(INDEX('Match Schedule'!$B$6:$B$79,MATCH(A55,'Match Schedule'!#REF!,0)),"")</f>
        <v/>
      </c>
      <c r="J55" s="63" t="str">
        <f>IFERROR(INDEX('Match Schedule'!$D$6:$D$79,MATCH(A55,'Match Schedule'!#REF!,0)),"")</f>
        <v/>
      </c>
    </row>
    <row r="56" spans="1:10" ht="15" customHeight="1" x14ac:dyDescent="0.2">
      <c r="A56" s="21">
        <v>36</v>
      </c>
      <c r="B56" s="21">
        <v>1</v>
      </c>
      <c r="C56" s="60" t="s">
        <v>103</v>
      </c>
      <c r="D56" s="60" t="s">
        <v>104</v>
      </c>
      <c r="E56" s="61"/>
      <c r="F56" s="61"/>
      <c r="G56" s="71"/>
      <c r="H56" s="21" t="str">
        <f t="shared" si="5"/>
        <v/>
      </c>
      <c r="I56" s="62" t="str">
        <f>IFERROR(INDEX('Match Schedule'!$B$6:$B$79,MATCH(A56,'Match Schedule'!#REF!,0)),"")</f>
        <v/>
      </c>
      <c r="J56" s="63" t="str">
        <f>IFERROR(INDEX('Match Schedule'!$D$6:$D$79,MATCH(A56,'Match Schedule'!#REF!,0)),"")</f>
        <v/>
      </c>
    </row>
    <row r="57" spans="1:10" ht="15" customHeight="1" x14ac:dyDescent="0.2">
      <c r="A57" s="21">
        <v>37</v>
      </c>
      <c r="B57" s="21">
        <v>2</v>
      </c>
      <c r="C57" s="60" t="s">
        <v>93</v>
      </c>
      <c r="D57" s="60" t="s">
        <v>104</v>
      </c>
      <c r="E57" s="61"/>
      <c r="F57" s="61"/>
      <c r="G57" s="71"/>
      <c r="H57" s="21" t="str">
        <f t="shared" si="5"/>
        <v/>
      </c>
      <c r="I57" s="62" t="str">
        <f>IFERROR(INDEX('Match Schedule'!$B$6:$B$79,MATCH(A57,'Match Schedule'!#REF!,0)),"")</f>
        <v/>
      </c>
      <c r="J57" s="63" t="str">
        <f>IFERROR(INDEX('Match Schedule'!$D$6:$D$79,MATCH(A57,'Match Schedule'!#REF!,0)),"")</f>
        <v/>
      </c>
    </row>
    <row r="58" spans="1:10" ht="15" customHeight="1" x14ac:dyDescent="0.2">
      <c r="A58" s="21">
        <v>38</v>
      </c>
      <c r="B58" s="21">
        <v>2</v>
      </c>
      <c r="C58" s="60" t="s">
        <v>94</v>
      </c>
      <c r="D58" s="60" t="s">
        <v>103</v>
      </c>
      <c r="E58" s="61"/>
      <c r="F58" s="61"/>
      <c r="G58" s="71"/>
      <c r="H58" s="21" t="str">
        <f t="shared" si="5"/>
        <v/>
      </c>
      <c r="I58" s="62" t="str">
        <f>IFERROR(INDEX('Match Schedule'!$B$6:$B$79,MATCH(A58,'Match Schedule'!#REF!,0)),"")</f>
        <v/>
      </c>
      <c r="J58" s="63" t="str">
        <f>IFERROR(INDEX('Match Schedule'!$D$6:$D$79,MATCH(A58,'Match Schedule'!#REF!,0)),"")</f>
        <v/>
      </c>
    </row>
    <row r="59" spans="1:10" ht="15" customHeight="1" x14ac:dyDescent="0.2">
      <c r="A59" s="21">
        <v>39</v>
      </c>
      <c r="B59" s="21">
        <v>3</v>
      </c>
      <c r="C59" s="60" t="s">
        <v>93</v>
      </c>
      <c r="D59" s="60" t="s">
        <v>103</v>
      </c>
      <c r="E59" s="61"/>
      <c r="F59" s="61"/>
      <c r="G59" s="71"/>
      <c r="H59" s="21" t="str">
        <f t="shared" si="5"/>
        <v/>
      </c>
      <c r="I59" s="62" t="str">
        <f>IFERROR(INDEX('Match Schedule'!$B$6:$B$79,MATCH(A59,'Match Schedule'!#REF!,0)),"")</f>
        <v/>
      </c>
      <c r="J59" s="63" t="str">
        <f>IFERROR(INDEX('Match Schedule'!$D$6:$D$79,MATCH(A59,'Match Schedule'!#REF!,0)),"")</f>
        <v/>
      </c>
    </row>
    <row r="60" spans="1:10" ht="15" customHeight="1" x14ac:dyDescent="0.2">
      <c r="A60" s="21">
        <v>40</v>
      </c>
      <c r="B60" s="21">
        <v>3</v>
      </c>
      <c r="C60" s="60" t="s">
        <v>104</v>
      </c>
      <c r="D60" s="60" t="s">
        <v>94</v>
      </c>
      <c r="E60" s="61"/>
      <c r="F60" s="61"/>
      <c r="G60" s="71"/>
      <c r="H60" s="21" t="str">
        <f t="shared" si="5"/>
        <v/>
      </c>
      <c r="I60" s="62" t="str">
        <f>IFERROR(INDEX('Match Schedule'!$B$6:$B$79,MATCH(A60,'Match Schedule'!#REF!,0)),"")</f>
        <v/>
      </c>
      <c r="J60" s="63" t="str">
        <f>IFERROR(INDEX('Match Schedule'!$D$6:$D$79,MATCH(A60,'Match Schedule'!#REF!,0)),"")</f>
        <v/>
      </c>
    </row>
    <row r="62" spans="1:10" ht="15" customHeight="1" x14ac:dyDescent="0.2">
      <c r="A62" s="70" t="s">
        <v>222</v>
      </c>
      <c r="B62" s="70"/>
      <c r="C62" s="70"/>
      <c r="D62" s="70"/>
      <c r="E62" s="70"/>
      <c r="F62" s="70"/>
      <c r="G62" s="70"/>
      <c r="H62" s="70"/>
      <c r="I62" s="70"/>
      <c r="J62" s="70"/>
    </row>
    <row r="63" spans="1:10" ht="15" customHeight="1" x14ac:dyDescent="0.2">
      <c r="A63" s="59" t="s">
        <v>64</v>
      </c>
      <c r="B63" s="59" t="s">
        <v>234</v>
      </c>
      <c r="C63" s="59" t="s">
        <v>69</v>
      </c>
      <c r="D63" s="59" t="s">
        <v>70</v>
      </c>
      <c r="E63" s="59" t="s">
        <v>235</v>
      </c>
      <c r="F63" s="59" t="s">
        <v>236</v>
      </c>
      <c r="G63" s="59" t="s">
        <v>8</v>
      </c>
      <c r="H63" s="59" t="s">
        <v>237</v>
      </c>
      <c r="I63" s="52" t="s">
        <v>65</v>
      </c>
      <c r="J63" s="52" t="s">
        <v>67</v>
      </c>
    </row>
    <row r="64" spans="1:10" ht="15" customHeight="1" x14ac:dyDescent="0.2">
      <c r="A64" s="21">
        <v>41</v>
      </c>
      <c r="B64" s="21">
        <v>1</v>
      </c>
      <c r="C64" s="60" t="s">
        <v>117</v>
      </c>
      <c r="D64" s="60" t="s">
        <v>118</v>
      </c>
      <c r="E64" s="61"/>
      <c r="F64" s="61"/>
      <c r="G64" s="71" t="s">
        <v>27</v>
      </c>
      <c r="H64" s="21" t="str">
        <f t="shared" ref="H64:H69" si="6">IF(OR(E64="",F64=""),"",IF(E64&gt;F64,C64&amp;" win",IF(F64&gt;E64,D64&amp;" win","Draw")))</f>
        <v/>
      </c>
      <c r="I64" s="62" t="str">
        <f>IFERROR(INDEX('Match Schedule'!$B$6:$B$79,MATCH(A64,'Match Schedule'!#REF!,0)),"")</f>
        <v/>
      </c>
      <c r="J64" s="63" t="str">
        <f>IFERROR(INDEX('Match Schedule'!$D$6:$D$79,MATCH(A64,'Match Schedule'!#REF!,0)),"")</f>
        <v/>
      </c>
    </row>
    <row r="65" spans="1:10" ht="15" customHeight="1" x14ac:dyDescent="0.2">
      <c r="A65" s="21">
        <v>42</v>
      </c>
      <c r="B65" s="21">
        <v>1</v>
      </c>
      <c r="C65" s="60" t="s">
        <v>119</v>
      </c>
      <c r="D65" s="60" t="s">
        <v>120</v>
      </c>
      <c r="E65" s="61"/>
      <c r="F65" s="61"/>
      <c r="G65" s="71"/>
      <c r="H65" s="21" t="str">
        <f t="shared" si="6"/>
        <v/>
      </c>
      <c r="I65" s="62" t="str">
        <f>IFERROR(INDEX('Match Schedule'!$B$6:$B$79,MATCH(A65,'Match Schedule'!#REF!,0)),"")</f>
        <v/>
      </c>
      <c r="J65" s="63" t="str">
        <f>IFERROR(INDEX('Match Schedule'!$D$6:$D$79,MATCH(A65,'Match Schedule'!#REF!,0)),"")</f>
        <v/>
      </c>
    </row>
    <row r="66" spans="1:10" ht="15" customHeight="1" x14ac:dyDescent="0.2">
      <c r="A66" s="21">
        <v>43</v>
      </c>
      <c r="B66" s="21">
        <v>2</v>
      </c>
      <c r="C66" s="60" t="s">
        <v>117</v>
      </c>
      <c r="D66" s="60" t="s">
        <v>120</v>
      </c>
      <c r="E66" s="61"/>
      <c r="F66" s="61"/>
      <c r="G66" s="71"/>
      <c r="H66" s="21" t="str">
        <f t="shared" si="6"/>
        <v/>
      </c>
      <c r="I66" s="62" t="str">
        <f>IFERROR(INDEX('Match Schedule'!$B$6:$B$79,MATCH(A66,'Match Schedule'!#REF!,0)),"")</f>
        <v/>
      </c>
      <c r="J66" s="63" t="str">
        <f>IFERROR(INDEX('Match Schedule'!$D$6:$D$79,MATCH(A66,'Match Schedule'!#REF!,0)),"")</f>
        <v/>
      </c>
    </row>
    <row r="67" spans="1:10" ht="15" customHeight="1" x14ac:dyDescent="0.2">
      <c r="A67" s="21">
        <v>44</v>
      </c>
      <c r="B67" s="21">
        <v>2</v>
      </c>
      <c r="C67" s="60" t="s">
        <v>118</v>
      </c>
      <c r="D67" s="60" t="s">
        <v>119</v>
      </c>
      <c r="E67" s="61"/>
      <c r="F67" s="61"/>
      <c r="G67" s="71"/>
      <c r="H67" s="21" t="str">
        <f t="shared" si="6"/>
        <v/>
      </c>
      <c r="I67" s="62" t="str">
        <f>IFERROR(INDEX('Match Schedule'!$B$6:$B$79,MATCH(A67,'Match Schedule'!#REF!,0)),"")</f>
        <v/>
      </c>
      <c r="J67" s="63" t="str">
        <f>IFERROR(INDEX('Match Schedule'!$D$6:$D$79,MATCH(A67,'Match Schedule'!#REF!,0)),"")</f>
        <v/>
      </c>
    </row>
    <row r="68" spans="1:10" ht="15" customHeight="1" x14ac:dyDescent="0.2">
      <c r="A68" s="21">
        <v>45</v>
      </c>
      <c r="B68" s="21">
        <v>3</v>
      </c>
      <c r="C68" s="60" t="s">
        <v>117</v>
      </c>
      <c r="D68" s="60" t="s">
        <v>119</v>
      </c>
      <c r="E68" s="61"/>
      <c r="F68" s="61"/>
      <c r="G68" s="71"/>
      <c r="H68" s="21" t="str">
        <f t="shared" si="6"/>
        <v/>
      </c>
      <c r="I68" s="62" t="str">
        <f>IFERROR(INDEX('Match Schedule'!$B$6:$B$79,MATCH(A68,'Match Schedule'!#REF!,0)),"")</f>
        <v/>
      </c>
      <c r="J68" s="63" t="str">
        <f>IFERROR(INDEX('Match Schedule'!$D$6:$D$79,MATCH(A68,'Match Schedule'!#REF!,0)),"")</f>
        <v/>
      </c>
    </row>
    <row r="69" spans="1:10" ht="15" customHeight="1" x14ac:dyDescent="0.2">
      <c r="A69" s="21">
        <v>46</v>
      </c>
      <c r="B69" s="21">
        <v>3</v>
      </c>
      <c r="C69" s="60" t="s">
        <v>120</v>
      </c>
      <c r="D69" s="60" t="s">
        <v>118</v>
      </c>
      <c r="E69" s="61"/>
      <c r="F69" s="61"/>
      <c r="G69" s="71"/>
      <c r="H69" s="21" t="str">
        <f t="shared" si="6"/>
        <v/>
      </c>
      <c r="I69" s="62" t="str">
        <f>IFERROR(INDEX('Match Schedule'!$B$6:$B$79,MATCH(A69,'Match Schedule'!#REF!,0)),"")</f>
        <v/>
      </c>
      <c r="J69" s="63" t="str">
        <f>IFERROR(INDEX('Match Schedule'!$D$6:$D$79,MATCH(A69,'Match Schedule'!#REF!,0)),"")</f>
        <v/>
      </c>
    </row>
    <row r="71" spans="1:10" ht="15" customHeight="1" x14ac:dyDescent="0.2">
      <c r="A71" s="70" t="s">
        <v>227</v>
      </c>
      <c r="B71" s="70"/>
      <c r="C71" s="70"/>
      <c r="D71" s="70"/>
      <c r="E71" s="70"/>
      <c r="F71" s="70"/>
      <c r="G71" s="70"/>
      <c r="H71" s="70"/>
      <c r="I71" s="70"/>
      <c r="J71" s="70"/>
    </row>
    <row r="72" spans="1:10" ht="15" customHeight="1" x14ac:dyDescent="0.2">
      <c r="A72" s="59" t="s">
        <v>64</v>
      </c>
      <c r="B72" s="59" t="s">
        <v>234</v>
      </c>
      <c r="C72" s="59" t="s">
        <v>69</v>
      </c>
      <c r="D72" s="59" t="s">
        <v>70</v>
      </c>
      <c r="E72" s="59" t="s">
        <v>235</v>
      </c>
      <c r="F72" s="59" t="s">
        <v>236</v>
      </c>
      <c r="G72" s="59" t="s">
        <v>8</v>
      </c>
      <c r="H72" s="59" t="s">
        <v>237</v>
      </c>
      <c r="I72" s="52" t="s">
        <v>65</v>
      </c>
      <c r="J72" s="52" t="s">
        <v>67</v>
      </c>
    </row>
    <row r="73" spans="1:10" ht="15" customHeight="1" x14ac:dyDescent="0.2">
      <c r="A73" s="21">
        <v>47</v>
      </c>
      <c r="B73" s="21">
        <v>1</v>
      </c>
      <c r="C73" s="60" t="s">
        <v>86</v>
      </c>
      <c r="D73" s="60" t="s">
        <v>87</v>
      </c>
      <c r="E73" s="61"/>
      <c r="F73" s="61"/>
      <c r="G73" s="71" t="s">
        <v>27</v>
      </c>
      <c r="H73" s="21" t="str">
        <f t="shared" ref="H73:H78" si="7">IF(OR(E73="",F73=""),"",IF(E73&gt;F73,C73&amp;" win",IF(F73&gt;E73,D73&amp;" win","Draw")))</f>
        <v/>
      </c>
      <c r="I73" s="62" t="str">
        <f>IFERROR(INDEX('Match Schedule'!$B$6:$B$79,MATCH(A73,'Match Schedule'!#REF!,0)),"")</f>
        <v/>
      </c>
      <c r="J73" s="63" t="str">
        <f>IFERROR(INDEX('Match Schedule'!$D$6:$D$79,MATCH(A73,'Match Schedule'!#REF!,0)),"")</f>
        <v/>
      </c>
    </row>
    <row r="74" spans="1:10" ht="15" customHeight="1" x14ac:dyDescent="0.2">
      <c r="A74" s="21">
        <v>48</v>
      </c>
      <c r="B74" s="21">
        <v>1</v>
      </c>
      <c r="C74" s="60" t="s">
        <v>99</v>
      </c>
      <c r="D74" s="60" t="s">
        <v>100</v>
      </c>
      <c r="E74" s="61"/>
      <c r="F74" s="61"/>
      <c r="G74" s="71"/>
      <c r="H74" s="21" t="str">
        <f t="shared" si="7"/>
        <v/>
      </c>
      <c r="I74" s="62" t="str">
        <f>IFERROR(INDEX('Match Schedule'!$B$6:$B$79,MATCH(A74,'Match Schedule'!#REF!,0)),"")</f>
        <v/>
      </c>
      <c r="J74" s="63" t="str">
        <f>IFERROR(INDEX('Match Schedule'!$D$6:$D$79,MATCH(A74,'Match Schedule'!#REF!,0)),"")</f>
        <v/>
      </c>
    </row>
    <row r="75" spans="1:10" ht="15" customHeight="1" x14ac:dyDescent="0.2">
      <c r="A75" s="21">
        <v>49</v>
      </c>
      <c r="B75" s="21">
        <v>2</v>
      </c>
      <c r="C75" s="60" t="s">
        <v>86</v>
      </c>
      <c r="D75" s="60" t="s">
        <v>100</v>
      </c>
      <c r="E75" s="61"/>
      <c r="F75" s="61"/>
      <c r="G75" s="71"/>
      <c r="H75" s="21" t="str">
        <f t="shared" si="7"/>
        <v/>
      </c>
      <c r="I75" s="62" t="str">
        <f>IFERROR(INDEX('Match Schedule'!$B$6:$B$79,MATCH(A75,'Match Schedule'!#REF!,0)),"")</f>
        <v/>
      </c>
      <c r="J75" s="63" t="str">
        <f>IFERROR(INDEX('Match Schedule'!$D$6:$D$79,MATCH(A75,'Match Schedule'!#REF!,0)),"")</f>
        <v/>
      </c>
    </row>
    <row r="76" spans="1:10" ht="15" customHeight="1" x14ac:dyDescent="0.2">
      <c r="A76" s="21">
        <v>50</v>
      </c>
      <c r="B76" s="21">
        <v>2</v>
      </c>
      <c r="C76" s="60" t="s">
        <v>87</v>
      </c>
      <c r="D76" s="60" t="s">
        <v>99</v>
      </c>
      <c r="E76" s="61"/>
      <c r="F76" s="61"/>
      <c r="G76" s="71"/>
      <c r="H76" s="21" t="str">
        <f t="shared" si="7"/>
        <v/>
      </c>
      <c r="I76" s="62" t="str">
        <f>IFERROR(INDEX('Match Schedule'!$B$6:$B$79,MATCH(A76,'Match Schedule'!#REF!,0)),"")</f>
        <v/>
      </c>
      <c r="J76" s="63" t="str">
        <f>IFERROR(INDEX('Match Schedule'!$D$6:$D$79,MATCH(A76,'Match Schedule'!#REF!,0)),"")</f>
        <v/>
      </c>
    </row>
    <row r="77" spans="1:10" ht="15" customHeight="1" x14ac:dyDescent="0.2">
      <c r="A77" s="21">
        <v>51</v>
      </c>
      <c r="B77" s="21">
        <v>3</v>
      </c>
      <c r="C77" s="60" t="s">
        <v>86</v>
      </c>
      <c r="D77" s="60" t="s">
        <v>99</v>
      </c>
      <c r="E77" s="61"/>
      <c r="F77" s="61"/>
      <c r="G77" s="71"/>
      <c r="H77" s="21" t="str">
        <f t="shared" si="7"/>
        <v/>
      </c>
      <c r="I77" s="62" t="str">
        <f>IFERROR(INDEX('Match Schedule'!$B$6:$B$79,MATCH(A77,'Match Schedule'!#REF!,0)),"")</f>
        <v/>
      </c>
      <c r="J77" s="63" t="str">
        <f>IFERROR(INDEX('Match Schedule'!$D$6:$D$79,MATCH(A77,'Match Schedule'!#REF!,0)),"")</f>
        <v/>
      </c>
    </row>
    <row r="78" spans="1:10" ht="15" customHeight="1" x14ac:dyDescent="0.2">
      <c r="A78" s="21">
        <v>52</v>
      </c>
      <c r="B78" s="21">
        <v>3</v>
      </c>
      <c r="C78" s="60" t="s">
        <v>100</v>
      </c>
      <c r="D78" s="60" t="s">
        <v>87</v>
      </c>
      <c r="E78" s="61"/>
      <c r="F78" s="61"/>
      <c r="G78" s="71"/>
      <c r="H78" s="21" t="str">
        <f t="shared" si="7"/>
        <v/>
      </c>
      <c r="I78" s="62" t="str">
        <f>IFERROR(INDEX('Match Schedule'!$B$6:$B$79,MATCH(A78,'Match Schedule'!#REF!,0)),"")</f>
        <v/>
      </c>
      <c r="J78" s="63" t="str">
        <f>IFERROR(INDEX('Match Schedule'!$D$6:$D$79,MATCH(A78,'Match Schedule'!#REF!,0)),"")</f>
        <v/>
      </c>
    </row>
  </sheetData>
  <mergeCells count="18">
    <mergeCell ref="G64:G69"/>
    <mergeCell ref="A71:J71"/>
    <mergeCell ref="G73:G78"/>
    <mergeCell ref="A44:J44"/>
    <mergeCell ref="G46:G51"/>
    <mergeCell ref="A53:J53"/>
    <mergeCell ref="G55:G60"/>
    <mergeCell ref="A62:J62"/>
    <mergeCell ref="G19:G24"/>
    <mergeCell ref="A26:J26"/>
    <mergeCell ref="G28:G33"/>
    <mergeCell ref="A35:J35"/>
    <mergeCell ref="G37:G42"/>
    <mergeCell ref="A1:J1"/>
    <mergeCell ref="A2:J2"/>
    <mergeCell ref="A4:J4"/>
    <mergeCell ref="G6:G15"/>
    <mergeCell ref="A17:J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9"/>
  <sheetViews>
    <sheetView showGridLines="0" view="pageBreakPreview" zoomScaleNormal="100" workbookViewId="0">
      <selection activeCell="Q20" sqref="Q20"/>
    </sheetView>
  </sheetViews>
  <sheetFormatPr baseColWidth="10" defaultColWidth="8.6640625" defaultRowHeight="15" x14ac:dyDescent="0.2"/>
  <cols>
    <col min="1" max="1" width="23.83203125" style="15" customWidth="1"/>
    <col min="2" max="3" width="6" style="15" customWidth="1"/>
    <col min="4" max="4" width="6.5" style="15" customWidth="1"/>
    <col min="5" max="5" width="7.6640625" style="15" customWidth="1"/>
    <col min="6" max="6" width="6" style="15" customWidth="1"/>
    <col min="7" max="7" width="7.1640625" style="15" customWidth="1"/>
    <col min="8" max="8" width="7.5" style="15" customWidth="1"/>
    <col min="9" max="9" width="13.6640625" style="15" customWidth="1"/>
    <col min="10" max="10" width="13.83203125" style="15" customWidth="1"/>
    <col min="11" max="11" width="10.33203125" style="15" customWidth="1"/>
  </cols>
  <sheetData>
    <row r="1" spans="1:11" ht="21.75" customHeight="1" x14ac:dyDescent="0.2">
      <c r="A1" s="14" t="s">
        <v>238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ht="15" customHeight="1" x14ac:dyDescent="0.2">
      <c r="A2" s="69" t="s">
        <v>239</v>
      </c>
      <c r="B2" s="69"/>
      <c r="C2" s="69"/>
      <c r="D2" s="69"/>
      <c r="E2" s="69"/>
      <c r="F2" s="69"/>
      <c r="G2" s="69"/>
      <c r="H2" s="69"/>
      <c r="I2" s="69"/>
      <c r="J2" s="69"/>
    </row>
    <row r="4" spans="1:11" ht="15" customHeight="1" x14ac:dyDescent="0.2">
      <c r="A4" s="70" t="s">
        <v>186</v>
      </c>
      <c r="B4" s="70"/>
      <c r="C4" s="70"/>
      <c r="D4" s="70"/>
      <c r="E4" s="70"/>
      <c r="F4" s="70"/>
      <c r="G4" s="70"/>
      <c r="H4" s="70"/>
      <c r="I4" s="70"/>
      <c r="J4" s="70"/>
    </row>
    <row r="5" spans="1:11" ht="15" customHeight="1" x14ac:dyDescent="0.2">
      <c r="A5" s="59" t="s">
        <v>178</v>
      </c>
      <c r="B5" s="59" t="s">
        <v>240</v>
      </c>
      <c r="C5" s="59" t="s">
        <v>241</v>
      </c>
      <c r="D5" s="59" t="s">
        <v>81</v>
      </c>
      <c r="E5" s="59" t="s">
        <v>242</v>
      </c>
      <c r="F5" s="59" t="s">
        <v>243</v>
      </c>
      <c r="G5" s="59" t="s">
        <v>244</v>
      </c>
      <c r="H5" s="59" t="s">
        <v>245</v>
      </c>
      <c r="I5" s="59" t="s">
        <v>246</v>
      </c>
      <c r="J5" s="59" t="s">
        <v>247</v>
      </c>
    </row>
    <row r="6" spans="1:11" ht="15" customHeight="1" x14ac:dyDescent="0.2">
      <c r="A6" s="64" t="s">
        <v>110</v>
      </c>
      <c r="B6" s="21">
        <f>SUMPRODUCT(('Group Fixtures'!$C$6:$C$15=$A6)*('Group Fixtures'!$E$6:$E$15&lt;&gt;""))+SUMPRODUCT(('Group Fixtures'!$D$6:$D$15=$A6)*('Group Fixtures'!$F$6:$F$15&lt;&gt;""))</f>
        <v>0</v>
      </c>
      <c r="C6" s="21">
        <f>SUMPRODUCT(('Group Fixtures'!$C$6:$C$15=$A6)*('Group Fixtures'!$E$6:$E$15&lt;&gt;"")*('Group Fixtures'!$E$6:$E$15&gt;'Group Fixtures'!$F$6:$F$15))+SUMPRODUCT(('Group Fixtures'!$D$6:$D$15=$A6)*('Group Fixtures'!$F$6:$F$15&lt;&gt;"")*('Group Fixtures'!$F$6:$F$15&gt;'Group Fixtures'!$E$6:$E$15))</f>
        <v>0</v>
      </c>
      <c r="D6" s="21">
        <f>SUMPRODUCT(('Group Fixtures'!$C$6:$C$15=$A6)*('Group Fixtures'!$E$6:$E$15&lt;&gt;"")*('Group Fixtures'!$E$6:$E$15='Group Fixtures'!$F$6:$F$15))+SUMPRODUCT(('Group Fixtures'!$D$6:$D$15=$A6)*('Group Fixtures'!$F$6:$F$15&lt;&gt;"")*('Group Fixtures'!$E$6:$E$15='Group Fixtures'!$F$6:$F$15))</f>
        <v>0</v>
      </c>
      <c r="E6" s="21">
        <f>B6-C6-D6</f>
        <v>0</v>
      </c>
      <c r="F6" s="21">
        <f>SUMIF('Group Fixtures'!$C$6:$C$15,$A6,'Group Fixtures'!$E$6:$E$15)+SUMIF('Group Fixtures'!$D$6:$D$15,$A6,'Group Fixtures'!$F$6:$F$15)</f>
        <v>0</v>
      </c>
      <c r="G6" s="21">
        <f>SUMIF('Group Fixtures'!$C$6:$C$15,$A6,'Group Fixtures'!$F$6:$F$15)+SUMIF('Group Fixtures'!$D$6:$D$15,$A6,'Group Fixtures'!$E$6:$E$15)</f>
        <v>0</v>
      </c>
      <c r="H6" s="21">
        <f>F6-G6</f>
        <v>0</v>
      </c>
      <c r="I6" s="21">
        <f>C6*3+D6*1</f>
        <v>0</v>
      </c>
      <c r="J6" s="21">
        <f>RANK(K6,$K$6:$K$10,0)</f>
        <v>1</v>
      </c>
      <c r="K6" s="65">
        <f>I6*1000+H6*10-ROW()*0.0000001</f>
        <v>-5.9999999999999997E-7</v>
      </c>
    </row>
    <row r="7" spans="1:11" ht="15" customHeight="1" x14ac:dyDescent="0.2">
      <c r="A7" s="64" t="s">
        <v>101</v>
      </c>
      <c r="B7" s="21">
        <f>SUMPRODUCT(('Group Fixtures'!$C$6:$C$15=$A7)*('Group Fixtures'!$E$6:$E$15&lt;&gt;""))+SUMPRODUCT(('Group Fixtures'!$D$6:$D$15=$A7)*('Group Fixtures'!$F$6:$F$15&lt;&gt;""))</f>
        <v>0</v>
      </c>
      <c r="C7" s="21">
        <f>SUMPRODUCT(('Group Fixtures'!$C$6:$C$15=$A7)*('Group Fixtures'!$E$6:$E$15&lt;&gt;"")*('Group Fixtures'!$E$6:$E$15&gt;'Group Fixtures'!$F$6:$F$15))+SUMPRODUCT(('Group Fixtures'!$D$6:$D$15=$A7)*('Group Fixtures'!$F$6:$F$15&lt;&gt;"")*('Group Fixtures'!$F$6:$F$15&gt;'Group Fixtures'!$E$6:$E$15))</f>
        <v>0</v>
      </c>
      <c r="D7" s="21">
        <f>SUMPRODUCT(('Group Fixtures'!$C$6:$C$15=$A7)*('Group Fixtures'!$E$6:$E$15&lt;&gt;"")*('Group Fixtures'!$E$6:$E$15='Group Fixtures'!$F$6:$F$15))+SUMPRODUCT(('Group Fixtures'!$D$6:$D$15=$A7)*('Group Fixtures'!$F$6:$F$15&lt;&gt;"")*('Group Fixtures'!$E$6:$E$15='Group Fixtures'!$F$6:$F$15))</f>
        <v>0</v>
      </c>
      <c r="E7" s="21">
        <f>B7-C7-D7</f>
        <v>0</v>
      </c>
      <c r="F7" s="21">
        <f>SUMIF('Group Fixtures'!$C$6:$C$15,$A7,'Group Fixtures'!$E$6:$E$15)+SUMIF('Group Fixtures'!$D$6:$D$15,$A7,'Group Fixtures'!$F$6:$F$15)</f>
        <v>0</v>
      </c>
      <c r="G7" s="21">
        <f>SUMIF('Group Fixtures'!$C$6:$C$15,$A7,'Group Fixtures'!$F$6:$F$15)+SUMIF('Group Fixtures'!$D$6:$D$15,$A7,'Group Fixtures'!$E$6:$E$15)</f>
        <v>0</v>
      </c>
      <c r="H7" s="21">
        <f>F7-G7</f>
        <v>0</v>
      </c>
      <c r="I7" s="21">
        <f>C7*3+D7*1</f>
        <v>0</v>
      </c>
      <c r="J7" s="21">
        <f>RANK(K7,$K$6:$K$10,0)</f>
        <v>2</v>
      </c>
      <c r="K7" s="65">
        <f>I7*1000+H7*10-ROW()*0.0000001</f>
        <v>-6.9999999999999997E-7</v>
      </c>
    </row>
    <row r="8" spans="1:11" ht="15" customHeight="1" x14ac:dyDescent="0.2">
      <c r="A8" s="64" t="s">
        <v>77</v>
      </c>
      <c r="B8" s="21">
        <f>SUMPRODUCT(('Group Fixtures'!$C$6:$C$15=$A8)*('Group Fixtures'!$E$6:$E$15&lt;&gt;""))+SUMPRODUCT(('Group Fixtures'!$D$6:$D$15=$A8)*('Group Fixtures'!$F$6:$F$15&lt;&gt;""))</f>
        <v>0</v>
      </c>
      <c r="C8" s="21">
        <f>SUMPRODUCT(('Group Fixtures'!$C$6:$C$15=$A8)*('Group Fixtures'!$E$6:$E$15&lt;&gt;"")*('Group Fixtures'!$E$6:$E$15&gt;'Group Fixtures'!$F$6:$F$15))+SUMPRODUCT(('Group Fixtures'!$D$6:$D$15=$A8)*('Group Fixtures'!$F$6:$F$15&lt;&gt;"")*('Group Fixtures'!$F$6:$F$15&gt;'Group Fixtures'!$E$6:$E$15))</f>
        <v>0</v>
      </c>
      <c r="D8" s="21">
        <f>SUMPRODUCT(('Group Fixtures'!$C$6:$C$15=$A8)*('Group Fixtures'!$E$6:$E$15&lt;&gt;"")*('Group Fixtures'!$E$6:$E$15='Group Fixtures'!$F$6:$F$15))+SUMPRODUCT(('Group Fixtures'!$D$6:$D$15=$A8)*('Group Fixtures'!$F$6:$F$15&lt;&gt;"")*('Group Fixtures'!$E$6:$E$15='Group Fixtures'!$F$6:$F$15))</f>
        <v>0</v>
      </c>
      <c r="E8" s="21">
        <f>B8-C8-D8</f>
        <v>0</v>
      </c>
      <c r="F8" s="21">
        <f>SUMIF('Group Fixtures'!$C$6:$C$15,$A8,'Group Fixtures'!$E$6:$E$15)+SUMIF('Group Fixtures'!$D$6:$D$15,$A8,'Group Fixtures'!$F$6:$F$15)</f>
        <v>0</v>
      </c>
      <c r="G8" s="21">
        <f>SUMIF('Group Fixtures'!$C$6:$C$15,$A8,'Group Fixtures'!$F$6:$F$15)+SUMIF('Group Fixtures'!$D$6:$D$15,$A8,'Group Fixtures'!$E$6:$E$15)</f>
        <v>0</v>
      </c>
      <c r="H8" s="21">
        <f>F8-G8</f>
        <v>0</v>
      </c>
      <c r="I8" s="21">
        <f>C8*3+D8*1</f>
        <v>0</v>
      </c>
      <c r="J8" s="21">
        <f>RANK(K8,$K$6:$K$10,0)</f>
        <v>3</v>
      </c>
      <c r="K8" s="65">
        <f>I8*1000+H8*10-ROW()*0.0000001</f>
        <v>-7.9999999999999996E-7</v>
      </c>
    </row>
    <row r="9" spans="1:11" ht="15" customHeight="1" x14ac:dyDescent="0.2">
      <c r="A9" s="64" t="s">
        <v>78</v>
      </c>
      <c r="B9" s="21">
        <f>SUMPRODUCT(('Group Fixtures'!$C$6:$C$15=$A9)*('Group Fixtures'!$E$6:$E$15&lt;&gt;""))+SUMPRODUCT(('Group Fixtures'!$D$6:$D$15=$A9)*('Group Fixtures'!$F$6:$F$15&lt;&gt;""))</f>
        <v>0</v>
      </c>
      <c r="C9" s="21">
        <f>SUMPRODUCT(('Group Fixtures'!$C$6:$C$15=$A9)*('Group Fixtures'!$E$6:$E$15&lt;&gt;"")*('Group Fixtures'!$E$6:$E$15&gt;'Group Fixtures'!$F$6:$F$15))+SUMPRODUCT(('Group Fixtures'!$D$6:$D$15=$A9)*('Group Fixtures'!$F$6:$F$15&lt;&gt;"")*('Group Fixtures'!$F$6:$F$15&gt;'Group Fixtures'!$E$6:$E$15))</f>
        <v>0</v>
      </c>
      <c r="D9" s="21">
        <f>SUMPRODUCT(('Group Fixtures'!$C$6:$C$15=$A9)*('Group Fixtures'!$E$6:$E$15&lt;&gt;"")*('Group Fixtures'!$E$6:$E$15='Group Fixtures'!$F$6:$F$15))+SUMPRODUCT(('Group Fixtures'!$D$6:$D$15=$A9)*('Group Fixtures'!$F$6:$F$15&lt;&gt;"")*('Group Fixtures'!$E$6:$E$15='Group Fixtures'!$F$6:$F$15))</f>
        <v>0</v>
      </c>
      <c r="E9" s="21">
        <f>B9-C9-D9</f>
        <v>0</v>
      </c>
      <c r="F9" s="21">
        <f>SUMIF('Group Fixtures'!$C$6:$C$15,$A9,'Group Fixtures'!$E$6:$E$15)+SUMIF('Group Fixtures'!$D$6:$D$15,$A9,'Group Fixtures'!$F$6:$F$15)</f>
        <v>0</v>
      </c>
      <c r="G9" s="21">
        <f>SUMIF('Group Fixtures'!$C$6:$C$15,$A9,'Group Fixtures'!$F$6:$F$15)+SUMIF('Group Fixtures'!$D$6:$D$15,$A9,'Group Fixtures'!$E$6:$E$15)</f>
        <v>0</v>
      </c>
      <c r="H9" s="21">
        <f>F9-G9</f>
        <v>0</v>
      </c>
      <c r="I9" s="21">
        <f>C9*3+D9*1</f>
        <v>0</v>
      </c>
      <c r="J9" s="21">
        <f>RANK(K9,$K$6:$K$10,0)</f>
        <v>4</v>
      </c>
      <c r="K9" s="65">
        <f>I9*1000+H9*10-ROW()*0.0000001</f>
        <v>-8.9999999999999996E-7</v>
      </c>
    </row>
    <row r="10" spans="1:11" ht="15" customHeight="1" x14ac:dyDescent="0.2">
      <c r="A10" s="64" t="s">
        <v>102</v>
      </c>
      <c r="B10" s="21">
        <f>SUMPRODUCT(('Group Fixtures'!$C$6:$C$15=$A10)*('Group Fixtures'!$E$6:$E$15&lt;&gt;""))+SUMPRODUCT(('Group Fixtures'!$D$6:$D$15=$A10)*('Group Fixtures'!$F$6:$F$15&lt;&gt;""))</f>
        <v>0</v>
      </c>
      <c r="C10" s="21">
        <f>SUMPRODUCT(('Group Fixtures'!$C$6:$C$15=$A10)*('Group Fixtures'!$E$6:$E$15&lt;&gt;"")*('Group Fixtures'!$E$6:$E$15&gt;'Group Fixtures'!$F$6:$F$15))+SUMPRODUCT(('Group Fixtures'!$D$6:$D$15=$A10)*('Group Fixtures'!$F$6:$F$15&lt;&gt;"")*('Group Fixtures'!$F$6:$F$15&gt;'Group Fixtures'!$E$6:$E$15))</f>
        <v>0</v>
      </c>
      <c r="D10" s="21">
        <f>SUMPRODUCT(('Group Fixtures'!$C$6:$C$15=$A10)*('Group Fixtures'!$E$6:$E$15&lt;&gt;"")*('Group Fixtures'!$E$6:$E$15='Group Fixtures'!$F$6:$F$15))+SUMPRODUCT(('Group Fixtures'!$D$6:$D$15=$A10)*('Group Fixtures'!$F$6:$F$15&lt;&gt;"")*('Group Fixtures'!$E$6:$E$15='Group Fixtures'!$F$6:$F$15))</f>
        <v>0</v>
      </c>
      <c r="E10" s="21">
        <f>B10-C10-D10</f>
        <v>0</v>
      </c>
      <c r="F10" s="21">
        <f>SUMIF('Group Fixtures'!$C$6:$C$15,$A10,'Group Fixtures'!$E$6:$E$15)+SUMIF('Group Fixtures'!$D$6:$D$15,$A10,'Group Fixtures'!$F$6:$F$15)</f>
        <v>0</v>
      </c>
      <c r="G10" s="21">
        <f>SUMIF('Group Fixtures'!$C$6:$C$15,$A10,'Group Fixtures'!$F$6:$F$15)+SUMIF('Group Fixtures'!$D$6:$D$15,$A10,'Group Fixtures'!$E$6:$E$15)</f>
        <v>0</v>
      </c>
      <c r="H10" s="21">
        <f>F10-G10</f>
        <v>0</v>
      </c>
      <c r="I10" s="21">
        <f>C10*3+D10*1</f>
        <v>0</v>
      </c>
      <c r="J10" s="21">
        <f>RANK(K10,$K$6:$K$10,0)</f>
        <v>5</v>
      </c>
      <c r="K10" s="65">
        <f>I10*1000+H10*10-ROW()*0.0000001</f>
        <v>-9.9999999999999995E-7</v>
      </c>
    </row>
    <row r="12" spans="1:11" ht="15" customHeight="1" x14ac:dyDescent="0.2">
      <c r="A12" s="70" t="s">
        <v>197</v>
      </c>
      <c r="B12" s="70"/>
      <c r="C12" s="70"/>
      <c r="D12" s="70"/>
      <c r="E12" s="70"/>
      <c r="F12" s="70"/>
      <c r="G12" s="70"/>
      <c r="H12" s="70"/>
      <c r="I12" s="70"/>
      <c r="J12" s="70"/>
    </row>
    <row r="13" spans="1:11" ht="15" customHeight="1" x14ac:dyDescent="0.2">
      <c r="A13" s="59" t="s">
        <v>178</v>
      </c>
      <c r="B13" s="59" t="s">
        <v>240</v>
      </c>
      <c r="C13" s="59" t="s">
        <v>241</v>
      </c>
      <c r="D13" s="59" t="s">
        <v>81</v>
      </c>
      <c r="E13" s="59" t="s">
        <v>242</v>
      </c>
      <c r="F13" s="59" t="s">
        <v>243</v>
      </c>
      <c r="G13" s="59" t="s">
        <v>244</v>
      </c>
      <c r="H13" s="59" t="s">
        <v>245</v>
      </c>
      <c r="I13" s="59" t="s">
        <v>246</v>
      </c>
      <c r="J13" s="59" t="s">
        <v>247</v>
      </c>
    </row>
    <row r="14" spans="1:11" ht="15" customHeight="1" x14ac:dyDescent="0.2">
      <c r="A14" s="64" t="s">
        <v>97</v>
      </c>
      <c r="B14" s="21">
        <f>SUMPRODUCT(('Group Fixtures'!$C$19:$C$24=$A14)*('Group Fixtures'!$E$19:$E$24&lt;&gt;""))+SUMPRODUCT(('Group Fixtures'!$D$19:$D$24=$A14)*('Group Fixtures'!$F$19:$F$24&lt;&gt;""))</f>
        <v>0</v>
      </c>
      <c r="C14" s="21">
        <f>SUMPRODUCT(('Group Fixtures'!$C$19:$C$24=$A14)*('Group Fixtures'!$E$19:$E$24&lt;&gt;"")*('Group Fixtures'!$E$19:$E$24&gt;'Group Fixtures'!$F$19:$F$24))+SUMPRODUCT(('Group Fixtures'!$D$19:$D$24=$A14)*('Group Fixtures'!$F$19:$F$24&lt;&gt;"")*('Group Fixtures'!$F$19:$F$24&gt;'Group Fixtures'!$E$19:$E$24))</f>
        <v>0</v>
      </c>
      <c r="D14" s="21">
        <f>SUMPRODUCT(('Group Fixtures'!$C$19:$C$24=$A14)*('Group Fixtures'!$E$19:$E$24&lt;&gt;"")*('Group Fixtures'!$E$19:$E$24='Group Fixtures'!$F$19:$F$24))+SUMPRODUCT(('Group Fixtures'!$D$19:$D$24=$A14)*('Group Fixtures'!$F$19:$F$24&lt;&gt;"")*('Group Fixtures'!$E$19:$E$24='Group Fixtures'!$F$19:$F$24))</f>
        <v>0</v>
      </c>
      <c r="E14" s="21">
        <f>B14-C14-D14</f>
        <v>0</v>
      </c>
      <c r="F14" s="21">
        <f>SUMIF('Group Fixtures'!$C$19:$C$24,$A14,'Group Fixtures'!$E$19:$E$24)+SUMIF('Group Fixtures'!$D$19:$D$24,$A14,'Group Fixtures'!$F$19:$F$24)</f>
        <v>0</v>
      </c>
      <c r="G14" s="21">
        <f>SUMIF('Group Fixtures'!$C$19:$C$24,$A14,'Group Fixtures'!$F$19:$F$24)+SUMIF('Group Fixtures'!$D$19:$D$24,$A14,'Group Fixtures'!$E$19:$E$24)</f>
        <v>0</v>
      </c>
      <c r="H14" s="21">
        <f>F14-G14</f>
        <v>0</v>
      </c>
      <c r="I14" s="21">
        <f>C14*3+D14*1</f>
        <v>0</v>
      </c>
      <c r="J14" s="21">
        <f>RANK(K14,$K$14:$K$17,0)</f>
        <v>1</v>
      </c>
      <c r="K14" s="65">
        <f>I14*1000+H14*10-ROW()*0.0000001</f>
        <v>-1.3999999999999999E-6</v>
      </c>
    </row>
    <row r="15" spans="1:11" ht="15" customHeight="1" x14ac:dyDescent="0.2">
      <c r="A15" s="64" t="s">
        <v>90</v>
      </c>
      <c r="B15" s="21">
        <f>SUMPRODUCT(('Group Fixtures'!$C$19:$C$24=$A15)*('Group Fixtures'!$E$19:$E$24&lt;&gt;""))+SUMPRODUCT(('Group Fixtures'!$D$19:$D$24=$A15)*('Group Fixtures'!$F$19:$F$24&lt;&gt;""))</f>
        <v>0</v>
      </c>
      <c r="C15" s="21">
        <f>SUMPRODUCT(('Group Fixtures'!$C$19:$C$24=$A15)*('Group Fixtures'!$E$19:$E$24&lt;&gt;"")*('Group Fixtures'!$E$19:$E$24&gt;'Group Fixtures'!$F$19:$F$24))+SUMPRODUCT(('Group Fixtures'!$D$19:$D$24=$A15)*('Group Fixtures'!$F$19:$F$24&lt;&gt;"")*('Group Fixtures'!$F$19:$F$24&gt;'Group Fixtures'!$E$19:$E$24))</f>
        <v>0</v>
      </c>
      <c r="D15" s="21">
        <f>SUMPRODUCT(('Group Fixtures'!$C$19:$C$24=$A15)*('Group Fixtures'!$E$19:$E$24&lt;&gt;"")*('Group Fixtures'!$E$19:$E$24='Group Fixtures'!$F$19:$F$24))+SUMPRODUCT(('Group Fixtures'!$D$19:$D$24=$A15)*('Group Fixtures'!$F$19:$F$24&lt;&gt;"")*('Group Fixtures'!$E$19:$E$24='Group Fixtures'!$F$19:$F$24))</f>
        <v>0</v>
      </c>
      <c r="E15" s="21">
        <f>B15-C15-D15</f>
        <v>0</v>
      </c>
      <c r="F15" s="21">
        <f>SUMIF('Group Fixtures'!$C$19:$C$24,$A15,'Group Fixtures'!$E$19:$E$24)+SUMIF('Group Fixtures'!$D$19:$D$24,$A15,'Group Fixtures'!$F$19:$F$24)</f>
        <v>0</v>
      </c>
      <c r="G15" s="21">
        <f>SUMIF('Group Fixtures'!$C$19:$C$24,$A15,'Group Fixtures'!$F$19:$F$24)+SUMIF('Group Fixtures'!$D$19:$D$24,$A15,'Group Fixtures'!$E$19:$E$24)</f>
        <v>0</v>
      </c>
      <c r="H15" s="21">
        <f>F15-G15</f>
        <v>0</v>
      </c>
      <c r="I15" s="21">
        <f>C15*3+D15*1</f>
        <v>0</v>
      </c>
      <c r="J15" s="21">
        <f>RANK(K15,$K$14:$K$17,0)</f>
        <v>2</v>
      </c>
      <c r="K15" s="65">
        <f>I15*1000+H15*10-ROW()*0.0000001</f>
        <v>-1.5E-6</v>
      </c>
    </row>
    <row r="16" spans="1:11" ht="15" customHeight="1" x14ac:dyDescent="0.2">
      <c r="A16" s="64" t="s">
        <v>91</v>
      </c>
      <c r="B16" s="21">
        <f>SUMPRODUCT(('Group Fixtures'!$C$19:$C$24=$A16)*('Group Fixtures'!$E$19:$E$24&lt;&gt;""))+SUMPRODUCT(('Group Fixtures'!$D$19:$D$24=$A16)*('Group Fixtures'!$F$19:$F$24&lt;&gt;""))</f>
        <v>0</v>
      </c>
      <c r="C16" s="21">
        <f>SUMPRODUCT(('Group Fixtures'!$C$19:$C$24=$A16)*('Group Fixtures'!$E$19:$E$24&lt;&gt;"")*('Group Fixtures'!$E$19:$E$24&gt;'Group Fixtures'!$F$19:$F$24))+SUMPRODUCT(('Group Fixtures'!$D$19:$D$24=$A16)*('Group Fixtures'!$F$19:$F$24&lt;&gt;"")*('Group Fixtures'!$F$19:$F$24&gt;'Group Fixtures'!$E$19:$E$24))</f>
        <v>0</v>
      </c>
      <c r="D16" s="21">
        <f>SUMPRODUCT(('Group Fixtures'!$C$19:$C$24=$A16)*('Group Fixtures'!$E$19:$E$24&lt;&gt;"")*('Group Fixtures'!$E$19:$E$24='Group Fixtures'!$F$19:$F$24))+SUMPRODUCT(('Group Fixtures'!$D$19:$D$24=$A16)*('Group Fixtures'!$F$19:$F$24&lt;&gt;"")*('Group Fixtures'!$E$19:$E$24='Group Fixtures'!$F$19:$F$24))</f>
        <v>0</v>
      </c>
      <c r="E16" s="21">
        <f>B16-C16-D16</f>
        <v>0</v>
      </c>
      <c r="F16" s="21">
        <f>SUMIF('Group Fixtures'!$C$19:$C$24,$A16,'Group Fixtures'!$E$19:$E$24)+SUMIF('Group Fixtures'!$D$19:$D$24,$A16,'Group Fixtures'!$F$19:$F$24)</f>
        <v>0</v>
      </c>
      <c r="G16" s="21">
        <f>SUMIF('Group Fixtures'!$C$19:$C$24,$A16,'Group Fixtures'!$F$19:$F$24)+SUMIF('Group Fixtures'!$D$19:$D$24,$A16,'Group Fixtures'!$E$19:$E$24)</f>
        <v>0</v>
      </c>
      <c r="H16" s="21">
        <f>F16-G16</f>
        <v>0</v>
      </c>
      <c r="I16" s="21">
        <f>C16*3+D16*1</f>
        <v>0</v>
      </c>
      <c r="J16" s="21">
        <f>RANK(K16,$K$14:$K$17,0)</f>
        <v>3</v>
      </c>
      <c r="K16" s="65">
        <f>I16*1000+H16*10-ROW()*0.0000001</f>
        <v>-1.5999999999999999E-6</v>
      </c>
    </row>
    <row r="17" spans="1:11" ht="15" customHeight="1" x14ac:dyDescent="0.2">
      <c r="A17" s="64" t="s">
        <v>98</v>
      </c>
      <c r="B17" s="21">
        <f>SUMPRODUCT(('Group Fixtures'!$C$19:$C$24=$A17)*('Group Fixtures'!$E$19:$E$24&lt;&gt;""))+SUMPRODUCT(('Group Fixtures'!$D$19:$D$24=$A17)*('Group Fixtures'!$F$19:$F$24&lt;&gt;""))</f>
        <v>0</v>
      </c>
      <c r="C17" s="21">
        <f>SUMPRODUCT(('Group Fixtures'!$C$19:$C$24=$A17)*('Group Fixtures'!$E$19:$E$24&lt;&gt;"")*('Group Fixtures'!$E$19:$E$24&gt;'Group Fixtures'!$F$19:$F$24))+SUMPRODUCT(('Group Fixtures'!$D$19:$D$24=$A17)*('Group Fixtures'!$F$19:$F$24&lt;&gt;"")*('Group Fixtures'!$F$19:$F$24&gt;'Group Fixtures'!$E$19:$E$24))</f>
        <v>0</v>
      </c>
      <c r="D17" s="21">
        <f>SUMPRODUCT(('Group Fixtures'!$C$19:$C$24=$A17)*('Group Fixtures'!$E$19:$E$24&lt;&gt;"")*('Group Fixtures'!$E$19:$E$24='Group Fixtures'!$F$19:$F$24))+SUMPRODUCT(('Group Fixtures'!$D$19:$D$24=$A17)*('Group Fixtures'!$F$19:$F$24&lt;&gt;"")*('Group Fixtures'!$E$19:$E$24='Group Fixtures'!$F$19:$F$24))</f>
        <v>0</v>
      </c>
      <c r="E17" s="21">
        <f>B17-C17-D17</f>
        <v>0</v>
      </c>
      <c r="F17" s="21">
        <f>SUMIF('Group Fixtures'!$C$19:$C$24,$A17,'Group Fixtures'!$E$19:$E$24)+SUMIF('Group Fixtures'!$D$19:$D$24,$A17,'Group Fixtures'!$F$19:$F$24)</f>
        <v>0</v>
      </c>
      <c r="G17" s="21">
        <f>SUMIF('Group Fixtures'!$C$19:$C$24,$A17,'Group Fixtures'!$F$19:$F$24)+SUMIF('Group Fixtures'!$D$19:$D$24,$A17,'Group Fixtures'!$E$19:$E$24)</f>
        <v>0</v>
      </c>
      <c r="H17" s="21">
        <f>F17-G17</f>
        <v>0</v>
      </c>
      <c r="I17" s="21">
        <f>C17*3+D17*1</f>
        <v>0</v>
      </c>
      <c r="J17" s="21">
        <f>RANK(K17,$K$14:$K$17,0)</f>
        <v>4</v>
      </c>
      <c r="K17" s="65">
        <f>I17*1000+H17*10-ROW()*0.0000001</f>
        <v>-1.6999999999999998E-6</v>
      </c>
    </row>
    <row r="19" spans="1:11" ht="15" customHeight="1" x14ac:dyDescent="0.2">
      <c r="A19" s="70" t="s">
        <v>202</v>
      </c>
      <c r="B19" s="70"/>
      <c r="C19" s="70"/>
      <c r="D19" s="70"/>
      <c r="E19" s="70"/>
      <c r="F19" s="70"/>
      <c r="G19" s="70"/>
      <c r="H19" s="70"/>
      <c r="I19" s="70"/>
      <c r="J19" s="70"/>
    </row>
    <row r="20" spans="1:11" ht="15" customHeight="1" x14ac:dyDescent="0.2">
      <c r="A20" s="59" t="s">
        <v>178</v>
      </c>
      <c r="B20" s="59" t="s">
        <v>240</v>
      </c>
      <c r="C20" s="59" t="s">
        <v>241</v>
      </c>
      <c r="D20" s="59" t="s">
        <v>81</v>
      </c>
      <c r="E20" s="59" t="s">
        <v>242</v>
      </c>
      <c r="F20" s="59" t="s">
        <v>243</v>
      </c>
      <c r="G20" s="59" t="s">
        <v>244</v>
      </c>
      <c r="H20" s="59" t="s">
        <v>245</v>
      </c>
      <c r="I20" s="59" t="s">
        <v>246</v>
      </c>
      <c r="J20" s="59" t="s">
        <v>247</v>
      </c>
    </row>
    <row r="21" spans="1:11" ht="15" customHeight="1" x14ac:dyDescent="0.2">
      <c r="A21" s="64" t="s">
        <v>106</v>
      </c>
      <c r="B21" s="21">
        <f>SUMPRODUCT(('Group Fixtures'!$C$28:$C$33=$A21)*('Group Fixtures'!$E$28:$E$33&lt;&gt;""))+SUMPRODUCT(('Group Fixtures'!$D$28:$D$33=$A21)*('Group Fixtures'!$F$28:$F$33&lt;&gt;""))</f>
        <v>0</v>
      </c>
      <c r="C21" s="21">
        <f>SUMPRODUCT(('Group Fixtures'!$C$28:$C$33=$A21)*('Group Fixtures'!$E$28:$E$33&lt;&gt;"")*('Group Fixtures'!$E$28:$E$33&gt;'Group Fixtures'!$F$28:$F$33))+SUMPRODUCT(('Group Fixtures'!$D$28:$D$33=$A21)*('Group Fixtures'!$F$28:$F$33&lt;&gt;"")*('Group Fixtures'!$F$28:$F$33&gt;'Group Fixtures'!$E$28:$E$33))</f>
        <v>0</v>
      </c>
      <c r="D21" s="21">
        <f>SUMPRODUCT(('Group Fixtures'!$C$28:$C$33=$A21)*('Group Fixtures'!$E$28:$E$33&lt;&gt;"")*('Group Fixtures'!$E$28:$E$33='Group Fixtures'!$F$28:$F$33))+SUMPRODUCT(('Group Fixtures'!$D$28:$D$33=$A21)*('Group Fixtures'!$F$28:$F$33&lt;&gt;"")*('Group Fixtures'!$E$28:$E$33='Group Fixtures'!$F$28:$F$33))</f>
        <v>0</v>
      </c>
      <c r="E21" s="21">
        <f>B21-C21-D21</f>
        <v>0</v>
      </c>
      <c r="F21" s="21">
        <f>SUMIF('Group Fixtures'!$C$28:$C$33,$A21,'Group Fixtures'!$E$28:$E$33)+SUMIF('Group Fixtures'!$D$28:$D$33,$A21,'Group Fixtures'!$F$28:$F$33)</f>
        <v>0</v>
      </c>
      <c r="G21" s="21">
        <f>SUMIF('Group Fixtures'!$C$28:$C$33,$A21,'Group Fixtures'!$F$28:$F$33)+SUMIF('Group Fixtures'!$D$28:$D$33,$A21,'Group Fixtures'!$E$28:$E$33)</f>
        <v>0</v>
      </c>
      <c r="H21" s="21">
        <f>F21-G21</f>
        <v>0</v>
      </c>
      <c r="I21" s="21">
        <f>C21*3+D21*1</f>
        <v>0</v>
      </c>
      <c r="J21" s="21">
        <f>RANK(K21,$K$21:$K$24,0)</f>
        <v>1</v>
      </c>
      <c r="K21" s="65">
        <f>I21*1000+H21*10-ROW()*0.0000001</f>
        <v>-2.0999999999999998E-6</v>
      </c>
    </row>
    <row r="22" spans="1:11" ht="15" customHeight="1" x14ac:dyDescent="0.2">
      <c r="A22" s="64" t="s">
        <v>108</v>
      </c>
      <c r="B22" s="21">
        <f>SUMPRODUCT(('Group Fixtures'!$C$28:$C$33=$A22)*('Group Fixtures'!$E$28:$E$33&lt;&gt;""))+SUMPRODUCT(('Group Fixtures'!$D$28:$D$33=$A22)*('Group Fixtures'!$F$28:$F$33&lt;&gt;""))</f>
        <v>0</v>
      </c>
      <c r="C22" s="21">
        <f>SUMPRODUCT(('Group Fixtures'!$C$28:$C$33=$A22)*('Group Fixtures'!$E$28:$E$33&lt;&gt;"")*('Group Fixtures'!$E$28:$E$33&gt;'Group Fixtures'!$F$28:$F$33))+SUMPRODUCT(('Group Fixtures'!$D$28:$D$33=$A22)*('Group Fixtures'!$F$28:$F$33&lt;&gt;"")*('Group Fixtures'!$F$28:$F$33&gt;'Group Fixtures'!$E$28:$E$33))</f>
        <v>0</v>
      </c>
      <c r="D22" s="21">
        <f>SUMPRODUCT(('Group Fixtures'!$C$28:$C$33=$A22)*('Group Fixtures'!$E$28:$E$33&lt;&gt;"")*('Group Fixtures'!$E$28:$E$33='Group Fixtures'!$F$28:$F$33))+SUMPRODUCT(('Group Fixtures'!$D$28:$D$33=$A22)*('Group Fixtures'!$F$28:$F$33&lt;&gt;"")*('Group Fixtures'!$E$28:$E$33='Group Fixtures'!$F$28:$F$33))</f>
        <v>0</v>
      </c>
      <c r="E22" s="21">
        <f>B22-C22-D22</f>
        <v>0</v>
      </c>
      <c r="F22" s="21">
        <f>SUMIF('Group Fixtures'!$C$28:$C$33,$A22,'Group Fixtures'!$E$28:$E$33)+SUMIF('Group Fixtures'!$D$28:$D$33,$A22,'Group Fixtures'!$F$28:$F$33)</f>
        <v>0</v>
      </c>
      <c r="G22" s="21">
        <f>SUMIF('Group Fixtures'!$C$28:$C$33,$A22,'Group Fixtures'!$F$28:$F$33)+SUMIF('Group Fixtures'!$D$28:$D$33,$A22,'Group Fixtures'!$E$28:$E$33)</f>
        <v>0</v>
      </c>
      <c r="H22" s="21">
        <f>F22-G22</f>
        <v>0</v>
      </c>
      <c r="I22" s="21">
        <f>C22*3+D22*1</f>
        <v>0</v>
      </c>
      <c r="J22" s="21">
        <f>RANK(K22,$K$21:$K$24,0)</f>
        <v>2</v>
      </c>
      <c r="K22" s="65">
        <f>I22*1000+H22*10-ROW()*0.0000001</f>
        <v>-2.2000000000000001E-6</v>
      </c>
    </row>
    <row r="23" spans="1:11" ht="15" customHeight="1" x14ac:dyDescent="0.2">
      <c r="A23" s="64" t="s">
        <v>109</v>
      </c>
      <c r="B23" s="21">
        <f>SUMPRODUCT(('Group Fixtures'!$C$28:$C$33=$A23)*('Group Fixtures'!$E$28:$E$33&lt;&gt;""))+SUMPRODUCT(('Group Fixtures'!$D$28:$D$33=$A23)*('Group Fixtures'!$F$28:$F$33&lt;&gt;""))</f>
        <v>0</v>
      </c>
      <c r="C23" s="21">
        <f>SUMPRODUCT(('Group Fixtures'!$C$28:$C$33=$A23)*('Group Fixtures'!$E$28:$E$33&lt;&gt;"")*('Group Fixtures'!$E$28:$E$33&gt;'Group Fixtures'!$F$28:$F$33))+SUMPRODUCT(('Group Fixtures'!$D$28:$D$33=$A23)*('Group Fixtures'!$F$28:$F$33&lt;&gt;"")*('Group Fixtures'!$F$28:$F$33&gt;'Group Fixtures'!$E$28:$E$33))</f>
        <v>0</v>
      </c>
      <c r="D23" s="21">
        <f>SUMPRODUCT(('Group Fixtures'!$C$28:$C$33=$A23)*('Group Fixtures'!$E$28:$E$33&lt;&gt;"")*('Group Fixtures'!$E$28:$E$33='Group Fixtures'!$F$28:$F$33))+SUMPRODUCT(('Group Fixtures'!$D$28:$D$33=$A23)*('Group Fixtures'!$F$28:$F$33&lt;&gt;"")*('Group Fixtures'!$E$28:$E$33='Group Fixtures'!$F$28:$F$33))</f>
        <v>0</v>
      </c>
      <c r="E23" s="21">
        <f>B23-C23-D23</f>
        <v>0</v>
      </c>
      <c r="F23" s="21">
        <f>SUMIF('Group Fixtures'!$C$28:$C$33,$A23,'Group Fixtures'!$E$28:$E$33)+SUMIF('Group Fixtures'!$D$28:$D$33,$A23,'Group Fixtures'!$F$28:$F$33)</f>
        <v>0</v>
      </c>
      <c r="G23" s="21">
        <f>SUMIF('Group Fixtures'!$C$28:$C$33,$A23,'Group Fixtures'!$F$28:$F$33)+SUMIF('Group Fixtures'!$D$28:$D$33,$A23,'Group Fixtures'!$E$28:$E$33)</f>
        <v>0</v>
      </c>
      <c r="H23" s="21">
        <f>F23-G23</f>
        <v>0</v>
      </c>
      <c r="I23" s="21">
        <f>C23*3+D23*1</f>
        <v>0</v>
      </c>
      <c r="J23" s="21">
        <f>RANK(K23,$K$21:$K$24,0)</f>
        <v>3</v>
      </c>
      <c r="K23" s="65">
        <f>I23*1000+H23*10-ROW()*0.0000001</f>
        <v>-2.3E-6</v>
      </c>
    </row>
    <row r="24" spans="1:11" ht="15" customHeight="1" x14ac:dyDescent="0.2">
      <c r="A24" s="64" t="s">
        <v>107</v>
      </c>
      <c r="B24" s="21">
        <f>SUMPRODUCT(('Group Fixtures'!$C$28:$C$33=$A24)*('Group Fixtures'!$E$28:$E$33&lt;&gt;""))+SUMPRODUCT(('Group Fixtures'!$D$28:$D$33=$A24)*('Group Fixtures'!$F$28:$F$33&lt;&gt;""))</f>
        <v>0</v>
      </c>
      <c r="C24" s="21">
        <f>SUMPRODUCT(('Group Fixtures'!$C$28:$C$33=$A24)*('Group Fixtures'!$E$28:$E$33&lt;&gt;"")*('Group Fixtures'!$E$28:$E$33&gt;'Group Fixtures'!$F$28:$F$33))+SUMPRODUCT(('Group Fixtures'!$D$28:$D$33=$A24)*('Group Fixtures'!$F$28:$F$33&lt;&gt;"")*('Group Fixtures'!$F$28:$F$33&gt;'Group Fixtures'!$E$28:$E$33))</f>
        <v>0</v>
      </c>
      <c r="D24" s="21">
        <f>SUMPRODUCT(('Group Fixtures'!$C$28:$C$33=$A24)*('Group Fixtures'!$E$28:$E$33&lt;&gt;"")*('Group Fixtures'!$E$28:$E$33='Group Fixtures'!$F$28:$F$33))+SUMPRODUCT(('Group Fixtures'!$D$28:$D$33=$A24)*('Group Fixtures'!$F$28:$F$33&lt;&gt;"")*('Group Fixtures'!$E$28:$E$33='Group Fixtures'!$F$28:$F$33))</f>
        <v>0</v>
      </c>
      <c r="E24" s="21">
        <f>B24-C24-D24</f>
        <v>0</v>
      </c>
      <c r="F24" s="21">
        <f>SUMIF('Group Fixtures'!$C$28:$C$33,$A24,'Group Fixtures'!$E$28:$E$33)+SUMIF('Group Fixtures'!$D$28:$D$33,$A24,'Group Fixtures'!$F$28:$F$33)</f>
        <v>0</v>
      </c>
      <c r="G24" s="21">
        <f>SUMIF('Group Fixtures'!$C$28:$C$33,$A24,'Group Fixtures'!$F$28:$F$33)+SUMIF('Group Fixtures'!$D$28:$D$33,$A24,'Group Fixtures'!$E$28:$E$33)</f>
        <v>0</v>
      </c>
      <c r="H24" s="21">
        <f>F24-G24</f>
        <v>0</v>
      </c>
      <c r="I24" s="21">
        <f>C24*3+D24*1</f>
        <v>0</v>
      </c>
      <c r="J24" s="21">
        <f>RANK(K24,$K$21:$K$24,0)</f>
        <v>4</v>
      </c>
      <c r="K24" s="65">
        <f>I24*1000+H24*10-ROW()*0.0000001</f>
        <v>-2.3999999999999999E-6</v>
      </c>
    </row>
    <row r="26" spans="1:11" ht="15" customHeight="1" x14ac:dyDescent="0.2">
      <c r="A26" s="70" t="s">
        <v>207</v>
      </c>
      <c r="B26" s="70"/>
      <c r="C26" s="70"/>
      <c r="D26" s="70"/>
      <c r="E26" s="70"/>
      <c r="F26" s="70"/>
      <c r="G26" s="70"/>
      <c r="H26" s="70"/>
      <c r="I26" s="70"/>
      <c r="J26" s="70"/>
    </row>
    <row r="27" spans="1:11" ht="15" customHeight="1" x14ac:dyDescent="0.2">
      <c r="A27" s="59" t="s">
        <v>178</v>
      </c>
      <c r="B27" s="59" t="s">
        <v>240</v>
      </c>
      <c r="C27" s="59" t="s">
        <v>241</v>
      </c>
      <c r="D27" s="59" t="s">
        <v>81</v>
      </c>
      <c r="E27" s="59" t="s">
        <v>242</v>
      </c>
      <c r="F27" s="59" t="s">
        <v>243</v>
      </c>
      <c r="G27" s="59" t="s">
        <v>244</v>
      </c>
      <c r="H27" s="59" t="s">
        <v>245</v>
      </c>
      <c r="I27" s="59" t="s">
        <v>246</v>
      </c>
      <c r="J27" s="59" t="s">
        <v>247</v>
      </c>
    </row>
    <row r="28" spans="1:11" ht="15" customHeight="1" x14ac:dyDescent="0.2">
      <c r="A28" s="64" t="s">
        <v>82</v>
      </c>
      <c r="B28" s="21">
        <f>SUMPRODUCT(('Group Fixtures'!$C$37:$C$42=$A28)*('Group Fixtures'!$E$37:$E$42&lt;&gt;""))+SUMPRODUCT(('Group Fixtures'!$D$37:$D$42=$A28)*('Group Fixtures'!$F$37:$F$42&lt;&gt;""))</f>
        <v>0</v>
      </c>
      <c r="C28" s="21">
        <f>SUMPRODUCT(('Group Fixtures'!$C$37:$C$42=$A28)*('Group Fixtures'!$E$37:$E$42&lt;&gt;"")*('Group Fixtures'!$E$37:$E$42&gt;'Group Fixtures'!$F$37:$F$42))+SUMPRODUCT(('Group Fixtures'!$D$37:$D$42=$A28)*('Group Fixtures'!$F$37:$F$42&lt;&gt;"")*('Group Fixtures'!$F$37:$F$42&gt;'Group Fixtures'!$E$37:$E$42))</f>
        <v>0</v>
      </c>
      <c r="D28" s="21">
        <f>SUMPRODUCT(('Group Fixtures'!$C$37:$C$42=$A28)*('Group Fixtures'!$E$37:$E$42&lt;&gt;"")*('Group Fixtures'!$E$37:$E$42='Group Fixtures'!$F$37:$F$42))+SUMPRODUCT(('Group Fixtures'!$D$37:$D$42=$A28)*('Group Fixtures'!$F$37:$F$42&lt;&gt;"")*('Group Fixtures'!$E$37:$E$42='Group Fixtures'!$F$37:$F$42))</f>
        <v>0</v>
      </c>
      <c r="E28" s="21">
        <f>B28-C28-D28</f>
        <v>0</v>
      </c>
      <c r="F28" s="21">
        <f>SUMIF('Group Fixtures'!$C$37:$C$42,$A28,'Group Fixtures'!$E$37:$E$42)+SUMIF('Group Fixtures'!$D$37:$D$42,$A28,'Group Fixtures'!$F$37:$F$42)</f>
        <v>0</v>
      </c>
      <c r="G28" s="21">
        <f>SUMIF('Group Fixtures'!$C$37:$C$42,$A28,'Group Fixtures'!$F$37:$F$42)+SUMIF('Group Fixtures'!$D$37:$D$42,$A28,'Group Fixtures'!$E$37:$E$42)</f>
        <v>0</v>
      </c>
      <c r="H28" s="21">
        <f>F28-G28</f>
        <v>0</v>
      </c>
      <c r="I28" s="21">
        <f>C28*3+D28*1</f>
        <v>0</v>
      </c>
      <c r="J28" s="21">
        <f>RANK(K28,$K$28:$K$31,0)</f>
        <v>1</v>
      </c>
      <c r="K28" s="65">
        <f>I28*1000+H28*10-ROW()*0.0000001</f>
        <v>-2.7999999999999999E-6</v>
      </c>
    </row>
    <row r="29" spans="1:11" ht="15" customHeight="1" x14ac:dyDescent="0.2">
      <c r="A29" s="64" t="s">
        <v>95</v>
      </c>
      <c r="B29" s="21">
        <f>SUMPRODUCT(('Group Fixtures'!$C$37:$C$42=$A29)*('Group Fixtures'!$E$37:$E$42&lt;&gt;""))+SUMPRODUCT(('Group Fixtures'!$D$37:$D$42=$A29)*('Group Fixtures'!$F$37:$F$42&lt;&gt;""))</f>
        <v>0</v>
      </c>
      <c r="C29" s="21">
        <f>SUMPRODUCT(('Group Fixtures'!$C$37:$C$42=$A29)*('Group Fixtures'!$E$37:$E$42&lt;&gt;"")*('Group Fixtures'!$E$37:$E$42&gt;'Group Fixtures'!$F$37:$F$42))+SUMPRODUCT(('Group Fixtures'!$D$37:$D$42=$A29)*('Group Fixtures'!$F$37:$F$42&lt;&gt;"")*('Group Fixtures'!$F$37:$F$42&gt;'Group Fixtures'!$E$37:$E$42))</f>
        <v>0</v>
      </c>
      <c r="D29" s="21">
        <f>SUMPRODUCT(('Group Fixtures'!$C$37:$C$42=$A29)*('Group Fixtures'!$E$37:$E$42&lt;&gt;"")*('Group Fixtures'!$E$37:$E$42='Group Fixtures'!$F$37:$F$42))+SUMPRODUCT(('Group Fixtures'!$D$37:$D$42=$A29)*('Group Fixtures'!$F$37:$F$42&lt;&gt;"")*('Group Fixtures'!$E$37:$E$42='Group Fixtures'!$F$37:$F$42))</f>
        <v>0</v>
      </c>
      <c r="E29" s="21">
        <f>B29-C29-D29</f>
        <v>0</v>
      </c>
      <c r="F29" s="21">
        <f>SUMIF('Group Fixtures'!$C$37:$C$42,$A29,'Group Fixtures'!$E$37:$E$42)+SUMIF('Group Fixtures'!$D$37:$D$42,$A29,'Group Fixtures'!$F$37:$F$42)</f>
        <v>0</v>
      </c>
      <c r="G29" s="21">
        <f>SUMIF('Group Fixtures'!$C$37:$C$42,$A29,'Group Fixtures'!$F$37:$F$42)+SUMIF('Group Fixtures'!$D$37:$D$42,$A29,'Group Fixtures'!$E$37:$E$42)</f>
        <v>0</v>
      </c>
      <c r="H29" s="21">
        <f>F29-G29</f>
        <v>0</v>
      </c>
      <c r="I29" s="21">
        <f>C29*3+D29*1</f>
        <v>0</v>
      </c>
      <c r="J29" s="21">
        <f>RANK(K29,$K$28:$K$31,0)</f>
        <v>2</v>
      </c>
      <c r="K29" s="65">
        <f>I29*1000+H29*10-ROW()*0.0000001</f>
        <v>-2.8999999999999998E-6</v>
      </c>
    </row>
    <row r="30" spans="1:11" ht="15" customHeight="1" x14ac:dyDescent="0.2">
      <c r="A30" s="64" t="s">
        <v>96</v>
      </c>
      <c r="B30" s="21">
        <f>SUMPRODUCT(('Group Fixtures'!$C$37:$C$42=$A30)*('Group Fixtures'!$E$37:$E$42&lt;&gt;""))+SUMPRODUCT(('Group Fixtures'!$D$37:$D$42=$A30)*('Group Fixtures'!$F$37:$F$42&lt;&gt;""))</f>
        <v>0</v>
      </c>
      <c r="C30" s="21">
        <f>SUMPRODUCT(('Group Fixtures'!$C$37:$C$42=$A30)*('Group Fixtures'!$E$37:$E$42&lt;&gt;"")*('Group Fixtures'!$E$37:$E$42&gt;'Group Fixtures'!$F$37:$F$42))+SUMPRODUCT(('Group Fixtures'!$D$37:$D$42=$A30)*('Group Fixtures'!$F$37:$F$42&lt;&gt;"")*('Group Fixtures'!$F$37:$F$42&gt;'Group Fixtures'!$E$37:$E$42))</f>
        <v>0</v>
      </c>
      <c r="D30" s="21">
        <f>SUMPRODUCT(('Group Fixtures'!$C$37:$C$42=$A30)*('Group Fixtures'!$E$37:$E$42&lt;&gt;"")*('Group Fixtures'!$E$37:$E$42='Group Fixtures'!$F$37:$F$42))+SUMPRODUCT(('Group Fixtures'!$D$37:$D$42=$A30)*('Group Fixtures'!$F$37:$F$42&lt;&gt;"")*('Group Fixtures'!$E$37:$E$42='Group Fixtures'!$F$37:$F$42))</f>
        <v>0</v>
      </c>
      <c r="E30" s="21">
        <f>B30-C30-D30</f>
        <v>0</v>
      </c>
      <c r="F30" s="21">
        <f>SUMIF('Group Fixtures'!$C$37:$C$42,$A30,'Group Fixtures'!$E$37:$E$42)+SUMIF('Group Fixtures'!$D$37:$D$42,$A30,'Group Fixtures'!$F$37:$F$42)</f>
        <v>0</v>
      </c>
      <c r="G30" s="21">
        <f>SUMIF('Group Fixtures'!$C$37:$C$42,$A30,'Group Fixtures'!$F$37:$F$42)+SUMIF('Group Fixtures'!$D$37:$D$42,$A30,'Group Fixtures'!$E$37:$E$42)</f>
        <v>0</v>
      </c>
      <c r="H30" s="21">
        <f>F30-G30</f>
        <v>0</v>
      </c>
      <c r="I30" s="21">
        <f>C30*3+D30*1</f>
        <v>0</v>
      </c>
      <c r="J30" s="21">
        <f>RANK(K30,$K$28:$K$31,0)</f>
        <v>3</v>
      </c>
      <c r="K30" s="65">
        <f>I30*1000+H30*10-ROW()*0.0000001</f>
        <v>-3.0000000000000001E-6</v>
      </c>
    </row>
    <row r="31" spans="1:11" ht="15" customHeight="1" x14ac:dyDescent="0.2">
      <c r="A31" s="64" t="s">
        <v>83</v>
      </c>
      <c r="B31" s="21">
        <f>SUMPRODUCT(('Group Fixtures'!$C$37:$C$42=$A31)*('Group Fixtures'!$E$37:$E$42&lt;&gt;""))+SUMPRODUCT(('Group Fixtures'!$D$37:$D$42=$A31)*('Group Fixtures'!$F$37:$F$42&lt;&gt;""))</f>
        <v>0</v>
      </c>
      <c r="C31" s="21">
        <f>SUMPRODUCT(('Group Fixtures'!$C$37:$C$42=$A31)*('Group Fixtures'!$E$37:$E$42&lt;&gt;"")*('Group Fixtures'!$E$37:$E$42&gt;'Group Fixtures'!$F$37:$F$42))+SUMPRODUCT(('Group Fixtures'!$D$37:$D$42=$A31)*('Group Fixtures'!$F$37:$F$42&lt;&gt;"")*('Group Fixtures'!$F$37:$F$42&gt;'Group Fixtures'!$E$37:$E$42))</f>
        <v>0</v>
      </c>
      <c r="D31" s="21">
        <f>SUMPRODUCT(('Group Fixtures'!$C$37:$C$42=$A31)*('Group Fixtures'!$E$37:$E$42&lt;&gt;"")*('Group Fixtures'!$E$37:$E$42='Group Fixtures'!$F$37:$F$42))+SUMPRODUCT(('Group Fixtures'!$D$37:$D$42=$A31)*('Group Fixtures'!$F$37:$F$42&lt;&gt;"")*('Group Fixtures'!$E$37:$E$42='Group Fixtures'!$F$37:$F$42))</f>
        <v>0</v>
      </c>
      <c r="E31" s="21">
        <f>B31-C31-D31</f>
        <v>0</v>
      </c>
      <c r="F31" s="21">
        <f>SUMIF('Group Fixtures'!$C$37:$C$42,$A31,'Group Fixtures'!$E$37:$E$42)+SUMIF('Group Fixtures'!$D$37:$D$42,$A31,'Group Fixtures'!$F$37:$F$42)</f>
        <v>0</v>
      </c>
      <c r="G31" s="21">
        <f>SUMIF('Group Fixtures'!$C$37:$C$42,$A31,'Group Fixtures'!$F$37:$F$42)+SUMIF('Group Fixtures'!$D$37:$D$42,$A31,'Group Fixtures'!$E$37:$E$42)</f>
        <v>0</v>
      </c>
      <c r="H31" s="21">
        <f>F31-G31</f>
        <v>0</v>
      </c>
      <c r="I31" s="21">
        <f>C31*3+D31*1</f>
        <v>0</v>
      </c>
      <c r="J31" s="21">
        <f>RANK(K31,$K$28:$K$31,0)</f>
        <v>4</v>
      </c>
      <c r="K31" s="65">
        <f>I31*1000+H31*10-ROW()*0.0000001</f>
        <v>-3.1E-6</v>
      </c>
    </row>
    <row r="33" spans="1:11" ht="15" customHeight="1" x14ac:dyDescent="0.2">
      <c r="A33" s="70" t="s">
        <v>212</v>
      </c>
      <c r="B33" s="70"/>
      <c r="C33" s="70"/>
      <c r="D33" s="70"/>
      <c r="E33" s="70"/>
      <c r="F33" s="70"/>
      <c r="G33" s="70"/>
      <c r="H33" s="70"/>
      <c r="I33" s="70"/>
      <c r="J33" s="70"/>
    </row>
    <row r="34" spans="1:11" ht="15" customHeight="1" x14ac:dyDescent="0.2">
      <c r="A34" s="59" t="s">
        <v>178</v>
      </c>
      <c r="B34" s="59" t="s">
        <v>240</v>
      </c>
      <c r="C34" s="59" t="s">
        <v>241</v>
      </c>
      <c r="D34" s="59" t="s">
        <v>81</v>
      </c>
      <c r="E34" s="59" t="s">
        <v>242</v>
      </c>
      <c r="F34" s="59" t="s">
        <v>243</v>
      </c>
      <c r="G34" s="59" t="s">
        <v>244</v>
      </c>
      <c r="H34" s="59" t="s">
        <v>245</v>
      </c>
      <c r="I34" s="59" t="s">
        <v>246</v>
      </c>
      <c r="J34" s="59" t="s">
        <v>247</v>
      </c>
    </row>
    <row r="35" spans="1:11" ht="15" customHeight="1" x14ac:dyDescent="0.2">
      <c r="A35" s="64" t="s">
        <v>114</v>
      </c>
      <c r="B35" s="21">
        <f>SUMPRODUCT(('Group Fixtures'!$C$46:$C$51=$A35)*('Group Fixtures'!$E$46:$E$51&lt;&gt;""))+SUMPRODUCT(('Group Fixtures'!$D$46:$D$51=$A35)*('Group Fixtures'!$F$46:$F$51&lt;&gt;""))</f>
        <v>0</v>
      </c>
      <c r="C35" s="21">
        <f>SUMPRODUCT(('Group Fixtures'!$C$46:$C$51=$A35)*('Group Fixtures'!$E$46:$E$51&lt;&gt;"")*('Group Fixtures'!$E$46:$E$51&gt;'Group Fixtures'!$F$46:$F$51))+SUMPRODUCT(('Group Fixtures'!$D$46:$D$51=$A35)*('Group Fixtures'!$F$46:$F$51&lt;&gt;"")*('Group Fixtures'!$F$46:$F$51&gt;'Group Fixtures'!$E$46:$E$51))</f>
        <v>0</v>
      </c>
      <c r="D35" s="21">
        <f>SUMPRODUCT(('Group Fixtures'!$C$46:$C$51=$A35)*('Group Fixtures'!$E$46:$E$51&lt;&gt;"")*('Group Fixtures'!$E$46:$E$51='Group Fixtures'!$F$46:$F$51))+SUMPRODUCT(('Group Fixtures'!$D$46:$D$51=$A35)*('Group Fixtures'!$F$46:$F$51&lt;&gt;"")*('Group Fixtures'!$E$46:$E$51='Group Fixtures'!$F$46:$F$51))</f>
        <v>0</v>
      </c>
      <c r="E35" s="21">
        <f>B35-C35-D35</f>
        <v>0</v>
      </c>
      <c r="F35" s="21">
        <f>SUMIF('Group Fixtures'!$C$46:$C$51,$A35,'Group Fixtures'!$E$46:$E$51)+SUMIF('Group Fixtures'!$D$46:$D$51,$A35,'Group Fixtures'!$F$46:$F$51)</f>
        <v>0</v>
      </c>
      <c r="G35" s="21">
        <f>SUMIF('Group Fixtures'!$C$46:$C$51,$A35,'Group Fixtures'!$F$46:$F$51)+SUMIF('Group Fixtures'!$D$46:$D$51,$A35,'Group Fixtures'!$E$46:$E$51)</f>
        <v>0</v>
      </c>
      <c r="H35" s="21">
        <f>F35-G35</f>
        <v>0</v>
      </c>
      <c r="I35" s="21">
        <f>C35*3+D35*1</f>
        <v>0</v>
      </c>
      <c r="J35" s="21">
        <f>RANK(K35,$K$35:$K$38,0)</f>
        <v>1</v>
      </c>
      <c r="K35" s="65">
        <f>I35*1000+H35*10-ROW()*0.0000001</f>
        <v>-3.4999999999999999E-6</v>
      </c>
    </row>
    <row r="36" spans="1:11" ht="15" customHeight="1" x14ac:dyDescent="0.2">
      <c r="A36" s="64" t="s">
        <v>112</v>
      </c>
      <c r="B36" s="21">
        <f>SUMPRODUCT(('Group Fixtures'!$C$46:$C$51=$A36)*('Group Fixtures'!$E$46:$E$51&lt;&gt;""))+SUMPRODUCT(('Group Fixtures'!$D$46:$D$51=$A36)*('Group Fixtures'!$F$46:$F$51&lt;&gt;""))</f>
        <v>0</v>
      </c>
      <c r="C36" s="21">
        <f>SUMPRODUCT(('Group Fixtures'!$C$46:$C$51=$A36)*('Group Fixtures'!$E$46:$E$51&lt;&gt;"")*('Group Fixtures'!$E$46:$E$51&gt;'Group Fixtures'!$F$46:$F$51))+SUMPRODUCT(('Group Fixtures'!$D$46:$D$51=$A36)*('Group Fixtures'!$F$46:$F$51&lt;&gt;"")*('Group Fixtures'!$F$46:$F$51&gt;'Group Fixtures'!$E$46:$E$51))</f>
        <v>0</v>
      </c>
      <c r="D36" s="21">
        <f>SUMPRODUCT(('Group Fixtures'!$C$46:$C$51=$A36)*('Group Fixtures'!$E$46:$E$51&lt;&gt;"")*('Group Fixtures'!$E$46:$E$51='Group Fixtures'!$F$46:$F$51))+SUMPRODUCT(('Group Fixtures'!$D$46:$D$51=$A36)*('Group Fixtures'!$F$46:$F$51&lt;&gt;"")*('Group Fixtures'!$E$46:$E$51='Group Fixtures'!$F$46:$F$51))</f>
        <v>0</v>
      </c>
      <c r="E36" s="21">
        <f>B36-C36-D36</f>
        <v>0</v>
      </c>
      <c r="F36" s="21">
        <f>SUMIF('Group Fixtures'!$C$46:$C$51,$A36,'Group Fixtures'!$E$46:$E$51)+SUMIF('Group Fixtures'!$D$46:$D$51,$A36,'Group Fixtures'!$F$46:$F$51)</f>
        <v>0</v>
      </c>
      <c r="G36" s="21">
        <f>SUMIF('Group Fixtures'!$C$46:$C$51,$A36,'Group Fixtures'!$F$46:$F$51)+SUMIF('Group Fixtures'!$D$46:$D$51,$A36,'Group Fixtures'!$E$46:$E$51)</f>
        <v>0</v>
      </c>
      <c r="H36" s="21">
        <f>F36-G36</f>
        <v>0</v>
      </c>
      <c r="I36" s="21">
        <f>C36*3+D36*1</f>
        <v>0</v>
      </c>
      <c r="J36" s="21">
        <f>RANK(K36,$K$35:$K$38,0)</f>
        <v>2</v>
      </c>
      <c r="K36" s="65">
        <f>I36*1000+H36*10-ROW()*0.0000001</f>
        <v>-3.5999999999999998E-6</v>
      </c>
    </row>
    <row r="37" spans="1:11" ht="15" customHeight="1" x14ac:dyDescent="0.2">
      <c r="A37" s="64" t="s">
        <v>113</v>
      </c>
      <c r="B37" s="21">
        <f>SUMPRODUCT(('Group Fixtures'!$C$46:$C$51=$A37)*('Group Fixtures'!$E$46:$E$51&lt;&gt;""))+SUMPRODUCT(('Group Fixtures'!$D$46:$D$51=$A37)*('Group Fixtures'!$F$46:$F$51&lt;&gt;""))</f>
        <v>0</v>
      </c>
      <c r="C37" s="21">
        <f>SUMPRODUCT(('Group Fixtures'!$C$46:$C$51=$A37)*('Group Fixtures'!$E$46:$E$51&lt;&gt;"")*('Group Fixtures'!$E$46:$E$51&gt;'Group Fixtures'!$F$46:$F$51))+SUMPRODUCT(('Group Fixtures'!$D$46:$D$51=$A37)*('Group Fixtures'!$F$46:$F$51&lt;&gt;"")*('Group Fixtures'!$F$46:$F$51&gt;'Group Fixtures'!$E$46:$E$51))</f>
        <v>0</v>
      </c>
      <c r="D37" s="21">
        <f>SUMPRODUCT(('Group Fixtures'!$C$46:$C$51=$A37)*('Group Fixtures'!$E$46:$E$51&lt;&gt;"")*('Group Fixtures'!$E$46:$E$51='Group Fixtures'!$F$46:$F$51))+SUMPRODUCT(('Group Fixtures'!$D$46:$D$51=$A37)*('Group Fixtures'!$F$46:$F$51&lt;&gt;"")*('Group Fixtures'!$E$46:$E$51='Group Fixtures'!$F$46:$F$51))</f>
        <v>0</v>
      </c>
      <c r="E37" s="21">
        <f>B37-C37-D37</f>
        <v>0</v>
      </c>
      <c r="F37" s="21">
        <f>SUMIF('Group Fixtures'!$C$46:$C$51,$A37,'Group Fixtures'!$E$46:$E$51)+SUMIF('Group Fixtures'!$D$46:$D$51,$A37,'Group Fixtures'!$F$46:$F$51)</f>
        <v>0</v>
      </c>
      <c r="G37" s="21">
        <f>SUMIF('Group Fixtures'!$C$46:$C$51,$A37,'Group Fixtures'!$F$46:$F$51)+SUMIF('Group Fixtures'!$D$46:$D$51,$A37,'Group Fixtures'!$E$46:$E$51)</f>
        <v>0</v>
      </c>
      <c r="H37" s="21">
        <f>F37-G37</f>
        <v>0</v>
      </c>
      <c r="I37" s="21">
        <f>C37*3+D37*1</f>
        <v>0</v>
      </c>
      <c r="J37" s="21">
        <f>RANK(K37,$K$35:$K$38,0)</f>
        <v>3</v>
      </c>
      <c r="K37" s="65">
        <f>I37*1000+H37*10-ROW()*0.0000001</f>
        <v>-3.6999999999999997E-6</v>
      </c>
    </row>
    <row r="38" spans="1:11" ht="15" customHeight="1" x14ac:dyDescent="0.2">
      <c r="A38" s="64" t="s">
        <v>115</v>
      </c>
      <c r="B38" s="21">
        <f>SUMPRODUCT(('Group Fixtures'!$C$46:$C$51=$A38)*('Group Fixtures'!$E$46:$E$51&lt;&gt;""))+SUMPRODUCT(('Group Fixtures'!$D$46:$D$51=$A38)*('Group Fixtures'!$F$46:$F$51&lt;&gt;""))</f>
        <v>0</v>
      </c>
      <c r="C38" s="21">
        <f>SUMPRODUCT(('Group Fixtures'!$C$46:$C$51=$A38)*('Group Fixtures'!$E$46:$E$51&lt;&gt;"")*('Group Fixtures'!$E$46:$E$51&gt;'Group Fixtures'!$F$46:$F$51))+SUMPRODUCT(('Group Fixtures'!$D$46:$D$51=$A38)*('Group Fixtures'!$F$46:$F$51&lt;&gt;"")*('Group Fixtures'!$F$46:$F$51&gt;'Group Fixtures'!$E$46:$E$51))</f>
        <v>0</v>
      </c>
      <c r="D38" s="21">
        <f>SUMPRODUCT(('Group Fixtures'!$C$46:$C$51=$A38)*('Group Fixtures'!$E$46:$E$51&lt;&gt;"")*('Group Fixtures'!$E$46:$E$51='Group Fixtures'!$F$46:$F$51))+SUMPRODUCT(('Group Fixtures'!$D$46:$D$51=$A38)*('Group Fixtures'!$F$46:$F$51&lt;&gt;"")*('Group Fixtures'!$E$46:$E$51='Group Fixtures'!$F$46:$F$51))</f>
        <v>0</v>
      </c>
      <c r="E38" s="21">
        <f>B38-C38-D38</f>
        <v>0</v>
      </c>
      <c r="F38" s="21">
        <f>SUMIF('Group Fixtures'!$C$46:$C$51,$A38,'Group Fixtures'!$E$46:$E$51)+SUMIF('Group Fixtures'!$D$46:$D$51,$A38,'Group Fixtures'!$F$46:$F$51)</f>
        <v>0</v>
      </c>
      <c r="G38" s="21">
        <f>SUMIF('Group Fixtures'!$C$46:$C$51,$A38,'Group Fixtures'!$F$46:$F$51)+SUMIF('Group Fixtures'!$D$46:$D$51,$A38,'Group Fixtures'!$E$46:$E$51)</f>
        <v>0</v>
      </c>
      <c r="H38" s="21">
        <f>F38-G38</f>
        <v>0</v>
      </c>
      <c r="I38" s="21">
        <f>C38*3+D38*1</f>
        <v>0</v>
      </c>
      <c r="J38" s="21">
        <f>RANK(K38,$K$35:$K$38,0)</f>
        <v>4</v>
      </c>
      <c r="K38" s="65">
        <f>I38*1000+H38*10-ROW()*0.0000001</f>
        <v>-3.8E-6</v>
      </c>
    </row>
    <row r="40" spans="1:11" ht="15" customHeight="1" x14ac:dyDescent="0.2">
      <c r="A40" s="70" t="s">
        <v>217</v>
      </c>
      <c r="B40" s="70"/>
      <c r="C40" s="70"/>
      <c r="D40" s="70"/>
      <c r="E40" s="70"/>
      <c r="F40" s="70"/>
      <c r="G40" s="70"/>
      <c r="H40" s="70"/>
      <c r="I40" s="70"/>
      <c r="J40" s="70"/>
    </row>
    <row r="41" spans="1:11" ht="15" customHeight="1" x14ac:dyDescent="0.2">
      <c r="A41" s="59" t="s">
        <v>178</v>
      </c>
      <c r="B41" s="59" t="s">
        <v>240</v>
      </c>
      <c r="C41" s="59" t="s">
        <v>241</v>
      </c>
      <c r="D41" s="59" t="s">
        <v>81</v>
      </c>
      <c r="E41" s="59" t="s">
        <v>242</v>
      </c>
      <c r="F41" s="59" t="s">
        <v>243</v>
      </c>
      <c r="G41" s="59" t="s">
        <v>244</v>
      </c>
      <c r="H41" s="59" t="s">
        <v>245</v>
      </c>
      <c r="I41" s="59" t="s">
        <v>246</v>
      </c>
      <c r="J41" s="59" t="s">
        <v>247</v>
      </c>
    </row>
    <row r="42" spans="1:11" ht="15" customHeight="1" x14ac:dyDescent="0.2">
      <c r="A42" s="64" t="s">
        <v>93</v>
      </c>
      <c r="B42" s="21">
        <f>SUMPRODUCT(('Group Fixtures'!$C$55:$C$60=$A42)*('Group Fixtures'!$E$55:$E$60&lt;&gt;""))+SUMPRODUCT(('Group Fixtures'!$D$55:$D$60=$A42)*('Group Fixtures'!$F$55:$F$60&lt;&gt;""))</f>
        <v>0</v>
      </c>
      <c r="C42" s="21">
        <f>SUMPRODUCT(('Group Fixtures'!$C$55:$C$60=$A42)*('Group Fixtures'!$E$55:$E$60&lt;&gt;"")*('Group Fixtures'!$E$55:$E$60&gt;'Group Fixtures'!$F$55:$F$60))+SUMPRODUCT(('Group Fixtures'!$D$55:$D$60=$A42)*('Group Fixtures'!$F$55:$F$60&lt;&gt;"")*('Group Fixtures'!$F$55:$F$60&gt;'Group Fixtures'!$E$55:$E$60))</f>
        <v>0</v>
      </c>
      <c r="D42" s="21">
        <f>SUMPRODUCT(('Group Fixtures'!$C$55:$C$60=$A42)*('Group Fixtures'!$E$55:$E$60&lt;&gt;"")*('Group Fixtures'!$E$55:$E$60='Group Fixtures'!$F$55:$F$60))+SUMPRODUCT(('Group Fixtures'!$D$55:$D$60=$A42)*('Group Fixtures'!$F$55:$F$60&lt;&gt;"")*('Group Fixtures'!$E$55:$E$60='Group Fixtures'!$F$55:$F$60))</f>
        <v>0</v>
      </c>
      <c r="E42" s="21">
        <f>B42-C42-D42</f>
        <v>0</v>
      </c>
      <c r="F42" s="21">
        <f>SUMIF('Group Fixtures'!$C$55:$C$60,$A42,'Group Fixtures'!$E$55:$E$60)+SUMIF('Group Fixtures'!$D$55:$D$60,$A42,'Group Fixtures'!$F$55:$F$60)</f>
        <v>0</v>
      </c>
      <c r="G42" s="21">
        <f>SUMIF('Group Fixtures'!$C$55:$C$60,$A42,'Group Fixtures'!$F$55:$F$60)+SUMIF('Group Fixtures'!$D$55:$D$60,$A42,'Group Fixtures'!$E$55:$E$60)</f>
        <v>0</v>
      </c>
      <c r="H42" s="21">
        <f>F42-G42</f>
        <v>0</v>
      </c>
      <c r="I42" s="21">
        <f>C42*3+D42*1</f>
        <v>0</v>
      </c>
      <c r="J42" s="21">
        <f>RANK(K42,$K$42:$K$45,0)</f>
        <v>1</v>
      </c>
      <c r="K42" s="65">
        <f>I42*1000+H42*10-ROW()*0.0000001</f>
        <v>-4.1999999999999996E-6</v>
      </c>
    </row>
    <row r="43" spans="1:11" ht="15" customHeight="1" x14ac:dyDescent="0.2">
      <c r="A43" s="64" t="s">
        <v>103</v>
      </c>
      <c r="B43" s="21">
        <f>SUMPRODUCT(('Group Fixtures'!$C$55:$C$60=$A43)*('Group Fixtures'!$E$55:$E$60&lt;&gt;""))+SUMPRODUCT(('Group Fixtures'!$D$55:$D$60=$A43)*('Group Fixtures'!$F$55:$F$60&lt;&gt;""))</f>
        <v>0</v>
      </c>
      <c r="C43" s="21">
        <f>SUMPRODUCT(('Group Fixtures'!$C$55:$C$60=$A43)*('Group Fixtures'!$E$55:$E$60&lt;&gt;"")*('Group Fixtures'!$E$55:$E$60&gt;'Group Fixtures'!$F$55:$F$60))+SUMPRODUCT(('Group Fixtures'!$D$55:$D$60=$A43)*('Group Fixtures'!$F$55:$F$60&lt;&gt;"")*('Group Fixtures'!$F$55:$F$60&gt;'Group Fixtures'!$E$55:$E$60))</f>
        <v>0</v>
      </c>
      <c r="D43" s="21">
        <f>SUMPRODUCT(('Group Fixtures'!$C$55:$C$60=$A43)*('Group Fixtures'!$E$55:$E$60&lt;&gt;"")*('Group Fixtures'!$E$55:$E$60='Group Fixtures'!$F$55:$F$60))+SUMPRODUCT(('Group Fixtures'!$D$55:$D$60=$A43)*('Group Fixtures'!$F$55:$F$60&lt;&gt;"")*('Group Fixtures'!$E$55:$E$60='Group Fixtures'!$F$55:$F$60))</f>
        <v>0</v>
      </c>
      <c r="E43" s="21">
        <f>B43-C43-D43</f>
        <v>0</v>
      </c>
      <c r="F43" s="21">
        <f>SUMIF('Group Fixtures'!$C$55:$C$60,$A43,'Group Fixtures'!$E$55:$E$60)+SUMIF('Group Fixtures'!$D$55:$D$60,$A43,'Group Fixtures'!$F$55:$F$60)</f>
        <v>0</v>
      </c>
      <c r="G43" s="21">
        <f>SUMIF('Group Fixtures'!$C$55:$C$60,$A43,'Group Fixtures'!$F$55:$F$60)+SUMIF('Group Fixtures'!$D$55:$D$60,$A43,'Group Fixtures'!$E$55:$E$60)</f>
        <v>0</v>
      </c>
      <c r="H43" s="21">
        <f>F43-G43</f>
        <v>0</v>
      </c>
      <c r="I43" s="21">
        <f>C43*3+D43*1</f>
        <v>0</v>
      </c>
      <c r="J43" s="21">
        <f>RANK(K43,$K$42:$K$45,0)</f>
        <v>2</v>
      </c>
      <c r="K43" s="65">
        <f>I43*1000+H43*10-ROW()*0.0000001</f>
        <v>-4.2999999999999995E-6</v>
      </c>
    </row>
    <row r="44" spans="1:11" ht="15" customHeight="1" x14ac:dyDescent="0.2">
      <c r="A44" s="64" t="s">
        <v>104</v>
      </c>
      <c r="B44" s="21">
        <f>SUMPRODUCT(('Group Fixtures'!$C$55:$C$60=$A44)*('Group Fixtures'!$E$55:$E$60&lt;&gt;""))+SUMPRODUCT(('Group Fixtures'!$D$55:$D$60=$A44)*('Group Fixtures'!$F$55:$F$60&lt;&gt;""))</f>
        <v>0</v>
      </c>
      <c r="C44" s="21">
        <f>SUMPRODUCT(('Group Fixtures'!$C$55:$C$60=$A44)*('Group Fixtures'!$E$55:$E$60&lt;&gt;"")*('Group Fixtures'!$E$55:$E$60&gt;'Group Fixtures'!$F$55:$F$60))+SUMPRODUCT(('Group Fixtures'!$D$55:$D$60=$A44)*('Group Fixtures'!$F$55:$F$60&lt;&gt;"")*('Group Fixtures'!$F$55:$F$60&gt;'Group Fixtures'!$E$55:$E$60))</f>
        <v>0</v>
      </c>
      <c r="D44" s="21">
        <f>SUMPRODUCT(('Group Fixtures'!$C$55:$C$60=$A44)*('Group Fixtures'!$E$55:$E$60&lt;&gt;"")*('Group Fixtures'!$E$55:$E$60='Group Fixtures'!$F$55:$F$60))+SUMPRODUCT(('Group Fixtures'!$D$55:$D$60=$A44)*('Group Fixtures'!$F$55:$F$60&lt;&gt;"")*('Group Fixtures'!$E$55:$E$60='Group Fixtures'!$F$55:$F$60))</f>
        <v>0</v>
      </c>
      <c r="E44" s="21">
        <f>B44-C44-D44</f>
        <v>0</v>
      </c>
      <c r="F44" s="21">
        <f>SUMIF('Group Fixtures'!$C$55:$C$60,$A44,'Group Fixtures'!$E$55:$E$60)+SUMIF('Group Fixtures'!$D$55:$D$60,$A44,'Group Fixtures'!$F$55:$F$60)</f>
        <v>0</v>
      </c>
      <c r="G44" s="21">
        <f>SUMIF('Group Fixtures'!$C$55:$C$60,$A44,'Group Fixtures'!$F$55:$F$60)+SUMIF('Group Fixtures'!$D$55:$D$60,$A44,'Group Fixtures'!$E$55:$E$60)</f>
        <v>0</v>
      </c>
      <c r="H44" s="21">
        <f>F44-G44</f>
        <v>0</v>
      </c>
      <c r="I44" s="21">
        <f>C44*3+D44*1</f>
        <v>0</v>
      </c>
      <c r="J44" s="21">
        <f>RANK(K44,$K$42:$K$45,0)</f>
        <v>3</v>
      </c>
      <c r="K44" s="65">
        <f>I44*1000+H44*10-ROW()*0.0000001</f>
        <v>-4.4000000000000002E-6</v>
      </c>
    </row>
    <row r="45" spans="1:11" ht="15" customHeight="1" x14ac:dyDescent="0.2">
      <c r="A45" s="64" t="s">
        <v>94</v>
      </c>
      <c r="B45" s="21">
        <f>SUMPRODUCT(('Group Fixtures'!$C$55:$C$60=$A45)*('Group Fixtures'!$E$55:$E$60&lt;&gt;""))+SUMPRODUCT(('Group Fixtures'!$D$55:$D$60=$A45)*('Group Fixtures'!$F$55:$F$60&lt;&gt;""))</f>
        <v>0</v>
      </c>
      <c r="C45" s="21">
        <f>SUMPRODUCT(('Group Fixtures'!$C$55:$C$60=$A45)*('Group Fixtures'!$E$55:$E$60&lt;&gt;"")*('Group Fixtures'!$E$55:$E$60&gt;'Group Fixtures'!$F$55:$F$60))+SUMPRODUCT(('Group Fixtures'!$D$55:$D$60=$A45)*('Group Fixtures'!$F$55:$F$60&lt;&gt;"")*('Group Fixtures'!$F$55:$F$60&gt;'Group Fixtures'!$E$55:$E$60))</f>
        <v>0</v>
      </c>
      <c r="D45" s="21">
        <f>SUMPRODUCT(('Group Fixtures'!$C$55:$C$60=$A45)*('Group Fixtures'!$E$55:$E$60&lt;&gt;"")*('Group Fixtures'!$E$55:$E$60='Group Fixtures'!$F$55:$F$60))+SUMPRODUCT(('Group Fixtures'!$D$55:$D$60=$A45)*('Group Fixtures'!$F$55:$F$60&lt;&gt;"")*('Group Fixtures'!$E$55:$E$60='Group Fixtures'!$F$55:$F$60))</f>
        <v>0</v>
      </c>
      <c r="E45" s="21">
        <f>B45-C45-D45</f>
        <v>0</v>
      </c>
      <c r="F45" s="21">
        <f>SUMIF('Group Fixtures'!$C$55:$C$60,$A45,'Group Fixtures'!$E$55:$E$60)+SUMIF('Group Fixtures'!$D$55:$D$60,$A45,'Group Fixtures'!$F$55:$F$60)</f>
        <v>0</v>
      </c>
      <c r="G45" s="21">
        <f>SUMIF('Group Fixtures'!$C$55:$C$60,$A45,'Group Fixtures'!$F$55:$F$60)+SUMIF('Group Fixtures'!$D$55:$D$60,$A45,'Group Fixtures'!$E$55:$E$60)</f>
        <v>0</v>
      </c>
      <c r="H45" s="21">
        <f>F45-G45</f>
        <v>0</v>
      </c>
      <c r="I45" s="21">
        <f>C45*3+D45*1</f>
        <v>0</v>
      </c>
      <c r="J45" s="21">
        <f>RANK(K45,$K$42:$K$45,0)</f>
        <v>4</v>
      </c>
      <c r="K45" s="65">
        <f>I45*1000+H45*10-ROW()*0.0000001</f>
        <v>-4.5000000000000001E-6</v>
      </c>
    </row>
    <row r="47" spans="1:11" ht="15" customHeight="1" x14ac:dyDescent="0.2">
      <c r="A47" s="70" t="s">
        <v>222</v>
      </c>
      <c r="B47" s="70"/>
      <c r="C47" s="70"/>
      <c r="D47" s="70"/>
      <c r="E47" s="70"/>
      <c r="F47" s="70"/>
      <c r="G47" s="70"/>
      <c r="H47" s="70"/>
      <c r="I47" s="70"/>
      <c r="J47" s="70"/>
    </row>
    <row r="48" spans="1:11" ht="15" customHeight="1" x14ac:dyDescent="0.2">
      <c r="A48" s="59" t="s">
        <v>178</v>
      </c>
      <c r="B48" s="59" t="s">
        <v>240</v>
      </c>
      <c r="C48" s="59" t="s">
        <v>241</v>
      </c>
      <c r="D48" s="59" t="s">
        <v>81</v>
      </c>
      <c r="E48" s="59" t="s">
        <v>242</v>
      </c>
      <c r="F48" s="59" t="s">
        <v>243</v>
      </c>
      <c r="G48" s="59" t="s">
        <v>244</v>
      </c>
      <c r="H48" s="59" t="s">
        <v>245</v>
      </c>
      <c r="I48" s="59" t="s">
        <v>246</v>
      </c>
      <c r="J48" s="59" t="s">
        <v>247</v>
      </c>
    </row>
    <row r="49" spans="1:11" ht="15" customHeight="1" x14ac:dyDescent="0.2">
      <c r="A49" s="64" t="s">
        <v>117</v>
      </c>
      <c r="B49" s="21">
        <f>SUMPRODUCT(('Group Fixtures'!$C$64:$C$69=$A49)*('Group Fixtures'!$E$64:$E$69&lt;&gt;""))+SUMPRODUCT(('Group Fixtures'!$D$64:$D$69=$A49)*('Group Fixtures'!$F$64:$F$69&lt;&gt;""))</f>
        <v>0</v>
      </c>
      <c r="C49" s="21">
        <f>SUMPRODUCT(('Group Fixtures'!$C$64:$C$69=$A49)*('Group Fixtures'!$E$64:$E$69&lt;&gt;"")*('Group Fixtures'!$E$64:$E$69&gt;'Group Fixtures'!$F$64:$F$69))+SUMPRODUCT(('Group Fixtures'!$D$64:$D$69=$A49)*('Group Fixtures'!$F$64:$F$69&lt;&gt;"")*('Group Fixtures'!$F$64:$F$69&gt;'Group Fixtures'!$E$64:$E$69))</f>
        <v>0</v>
      </c>
      <c r="D49" s="21">
        <f>SUMPRODUCT(('Group Fixtures'!$C$64:$C$69=$A49)*('Group Fixtures'!$E$64:$E$69&lt;&gt;"")*('Group Fixtures'!$E$64:$E$69='Group Fixtures'!$F$64:$F$69))+SUMPRODUCT(('Group Fixtures'!$D$64:$D$69=$A49)*('Group Fixtures'!$F$64:$F$69&lt;&gt;"")*('Group Fixtures'!$E$64:$E$69='Group Fixtures'!$F$64:$F$69))</f>
        <v>0</v>
      </c>
      <c r="E49" s="21">
        <f>B49-C49-D49</f>
        <v>0</v>
      </c>
      <c r="F49" s="21">
        <f>SUMIF('Group Fixtures'!$C$64:$C$69,$A49,'Group Fixtures'!$E$64:$E$69)+SUMIF('Group Fixtures'!$D$64:$D$69,$A49,'Group Fixtures'!$F$64:$F$69)</f>
        <v>0</v>
      </c>
      <c r="G49" s="21">
        <f>SUMIF('Group Fixtures'!$C$64:$C$69,$A49,'Group Fixtures'!$F$64:$F$69)+SUMIF('Group Fixtures'!$D$64:$D$69,$A49,'Group Fixtures'!$E$64:$E$69)</f>
        <v>0</v>
      </c>
      <c r="H49" s="21">
        <f>F49-G49</f>
        <v>0</v>
      </c>
      <c r="I49" s="21">
        <f>C49*3+D49*1</f>
        <v>0</v>
      </c>
      <c r="J49" s="21">
        <f>RANK(K49,$K$49:$K$52,0)</f>
        <v>1</v>
      </c>
      <c r="K49" s="65">
        <f>I49*1000+H49*10-ROW()*0.0000001</f>
        <v>-4.8999999999999997E-6</v>
      </c>
    </row>
    <row r="50" spans="1:11" ht="15" customHeight="1" x14ac:dyDescent="0.2">
      <c r="A50" s="64" t="s">
        <v>119</v>
      </c>
      <c r="B50" s="21">
        <f>SUMPRODUCT(('Group Fixtures'!$C$64:$C$69=$A50)*('Group Fixtures'!$E$64:$E$69&lt;&gt;""))+SUMPRODUCT(('Group Fixtures'!$D$64:$D$69=$A50)*('Group Fixtures'!$F$64:$F$69&lt;&gt;""))</f>
        <v>0</v>
      </c>
      <c r="C50" s="21">
        <f>SUMPRODUCT(('Group Fixtures'!$C$64:$C$69=$A50)*('Group Fixtures'!$E$64:$E$69&lt;&gt;"")*('Group Fixtures'!$E$64:$E$69&gt;'Group Fixtures'!$F$64:$F$69))+SUMPRODUCT(('Group Fixtures'!$D$64:$D$69=$A50)*('Group Fixtures'!$F$64:$F$69&lt;&gt;"")*('Group Fixtures'!$F$64:$F$69&gt;'Group Fixtures'!$E$64:$E$69))</f>
        <v>0</v>
      </c>
      <c r="D50" s="21">
        <f>SUMPRODUCT(('Group Fixtures'!$C$64:$C$69=$A50)*('Group Fixtures'!$E$64:$E$69&lt;&gt;"")*('Group Fixtures'!$E$64:$E$69='Group Fixtures'!$F$64:$F$69))+SUMPRODUCT(('Group Fixtures'!$D$64:$D$69=$A50)*('Group Fixtures'!$F$64:$F$69&lt;&gt;"")*('Group Fixtures'!$E$64:$E$69='Group Fixtures'!$F$64:$F$69))</f>
        <v>0</v>
      </c>
      <c r="E50" s="21">
        <f>B50-C50-D50</f>
        <v>0</v>
      </c>
      <c r="F50" s="21">
        <f>SUMIF('Group Fixtures'!$C$64:$C$69,$A50,'Group Fixtures'!$E$64:$E$69)+SUMIF('Group Fixtures'!$D$64:$D$69,$A50,'Group Fixtures'!$F$64:$F$69)</f>
        <v>0</v>
      </c>
      <c r="G50" s="21">
        <f>SUMIF('Group Fixtures'!$C$64:$C$69,$A50,'Group Fixtures'!$F$64:$F$69)+SUMIF('Group Fixtures'!$D$64:$D$69,$A50,'Group Fixtures'!$E$64:$E$69)</f>
        <v>0</v>
      </c>
      <c r="H50" s="21">
        <f>F50-G50</f>
        <v>0</v>
      </c>
      <c r="I50" s="21">
        <f>C50*3+D50*1</f>
        <v>0</v>
      </c>
      <c r="J50" s="21">
        <f>RANK(K50,$K$49:$K$52,0)</f>
        <v>2</v>
      </c>
      <c r="K50" s="65">
        <f>I50*1000+H50*10-ROW()*0.0000001</f>
        <v>-4.9999999999999996E-6</v>
      </c>
    </row>
    <row r="51" spans="1:11" ht="15" customHeight="1" x14ac:dyDescent="0.2">
      <c r="A51" s="64" t="s">
        <v>120</v>
      </c>
      <c r="B51" s="21">
        <f>SUMPRODUCT(('Group Fixtures'!$C$64:$C$69=$A51)*('Group Fixtures'!$E$64:$E$69&lt;&gt;""))+SUMPRODUCT(('Group Fixtures'!$D$64:$D$69=$A51)*('Group Fixtures'!$F$64:$F$69&lt;&gt;""))</f>
        <v>0</v>
      </c>
      <c r="C51" s="21">
        <f>SUMPRODUCT(('Group Fixtures'!$C$64:$C$69=$A51)*('Group Fixtures'!$E$64:$E$69&lt;&gt;"")*('Group Fixtures'!$E$64:$E$69&gt;'Group Fixtures'!$F$64:$F$69))+SUMPRODUCT(('Group Fixtures'!$D$64:$D$69=$A51)*('Group Fixtures'!$F$64:$F$69&lt;&gt;"")*('Group Fixtures'!$F$64:$F$69&gt;'Group Fixtures'!$E$64:$E$69))</f>
        <v>0</v>
      </c>
      <c r="D51" s="21">
        <f>SUMPRODUCT(('Group Fixtures'!$C$64:$C$69=$A51)*('Group Fixtures'!$E$64:$E$69&lt;&gt;"")*('Group Fixtures'!$E$64:$E$69='Group Fixtures'!$F$64:$F$69))+SUMPRODUCT(('Group Fixtures'!$D$64:$D$69=$A51)*('Group Fixtures'!$F$64:$F$69&lt;&gt;"")*('Group Fixtures'!$E$64:$E$69='Group Fixtures'!$F$64:$F$69))</f>
        <v>0</v>
      </c>
      <c r="E51" s="21">
        <f>B51-C51-D51</f>
        <v>0</v>
      </c>
      <c r="F51" s="21">
        <f>SUMIF('Group Fixtures'!$C$64:$C$69,$A51,'Group Fixtures'!$E$64:$E$69)+SUMIF('Group Fixtures'!$D$64:$D$69,$A51,'Group Fixtures'!$F$64:$F$69)</f>
        <v>0</v>
      </c>
      <c r="G51" s="21">
        <f>SUMIF('Group Fixtures'!$C$64:$C$69,$A51,'Group Fixtures'!$F$64:$F$69)+SUMIF('Group Fixtures'!$D$64:$D$69,$A51,'Group Fixtures'!$E$64:$E$69)</f>
        <v>0</v>
      </c>
      <c r="H51" s="21">
        <f>F51-G51</f>
        <v>0</v>
      </c>
      <c r="I51" s="21">
        <f>C51*3+D51*1</f>
        <v>0</v>
      </c>
      <c r="J51" s="21">
        <f>RANK(K51,$K$49:$K$52,0)</f>
        <v>3</v>
      </c>
      <c r="K51" s="65">
        <f>I51*1000+H51*10-ROW()*0.0000001</f>
        <v>-5.0999999999999995E-6</v>
      </c>
    </row>
    <row r="52" spans="1:11" ht="15" customHeight="1" x14ac:dyDescent="0.2">
      <c r="A52" s="64" t="s">
        <v>118</v>
      </c>
      <c r="B52" s="21">
        <f>SUMPRODUCT(('Group Fixtures'!$C$64:$C$69=$A52)*('Group Fixtures'!$E$64:$E$69&lt;&gt;""))+SUMPRODUCT(('Group Fixtures'!$D$64:$D$69=$A52)*('Group Fixtures'!$F$64:$F$69&lt;&gt;""))</f>
        <v>0</v>
      </c>
      <c r="C52" s="21">
        <f>SUMPRODUCT(('Group Fixtures'!$C$64:$C$69=$A52)*('Group Fixtures'!$E$64:$E$69&lt;&gt;"")*('Group Fixtures'!$E$64:$E$69&gt;'Group Fixtures'!$F$64:$F$69))+SUMPRODUCT(('Group Fixtures'!$D$64:$D$69=$A52)*('Group Fixtures'!$F$64:$F$69&lt;&gt;"")*('Group Fixtures'!$F$64:$F$69&gt;'Group Fixtures'!$E$64:$E$69))</f>
        <v>0</v>
      </c>
      <c r="D52" s="21">
        <f>SUMPRODUCT(('Group Fixtures'!$C$64:$C$69=$A52)*('Group Fixtures'!$E$64:$E$69&lt;&gt;"")*('Group Fixtures'!$E$64:$E$69='Group Fixtures'!$F$64:$F$69))+SUMPRODUCT(('Group Fixtures'!$D$64:$D$69=$A52)*('Group Fixtures'!$F$64:$F$69&lt;&gt;"")*('Group Fixtures'!$E$64:$E$69='Group Fixtures'!$F$64:$F$69))</f>
        <v>0</v>
      </c>
      <c r="E52" s="21">
        <f>B52-C52-D52</f>
        <v>0</v>
      </c>
      <c r="F52" s="21">
        <f>SUMIF('Group Fixtures'!$C$64:$C$69,$A52,'Group Fixtures'!$E$64:$E$69)+SUMIF('Group Fixtures'!$D$64:$D$69,$A52,'Group Fixtures'!$F$64:$F$69)</f>
        <v>0</v>
      </c>
      <c r="G52" s="21">
        <f>SUMIF('Group Fixtures'!$C$64:$C$69,$A52,'Group Fixtures'!$F$64:$F$69)+SUMIF('Group Fixtures'!$D$64:$D$69,$A52,'Group Fixtures'!$E$64:$E$69)</f>
        <v>0</v>
      </c>
      <c r="H52" s="21">
        <f>F52-G52</f>
        <v>0</v>
      </c>
      <c r="I52" s="21">
        <f>C52*3+D52*1</f>
        <v>0</v>
      </c>
      <c r="J52" s="21">
        <f>RANK(K52,$K$49:$K$52,0)</f>
        <v>4</v>
      </c>
      <c r="K52" s="65">
        <f>I52*1000+H52*10-ROW()*0.0000001</f>
        <v>-5.1999999999999993E-6</v>
      </c>
    </row>
    <row r="54" spans="1:11" ht="15" customHeight="1" x14ac:dyDescent="0.2">
      <c r="A54" s="70" t="s">
        <v>227</v>
      </c>
      <c r="B54" s="70"/>
      <c r="C54" s="70"/>
      <c r="D54" s="70"/>
      <c r="E54" s="70"/>
      <c r="F54" s="70"/>
      <c r="G54" s="70"/>
      <c r="H54" s="70"/>
      <c r="I54" s="70"/>
      <c r="J54" s="70"/>
    </row>
    <row r="55" spans="1:11" ht="15" customHeight="1" x14ac:dyDescent="0.2">
      <c r="A55" s="59" t="s">
        <v>178</v>
      </c>
      <c r="B55" s="59" t="s">
        <v>240</v>
      </c>
      <c r="C55" s="59" t="s">
        <v>241</v>
      </c>
      <c r="D55" s="59" t="s">
        <v>81</v>
      </c>
      <c r="E55" s="59" t="s">
        <v>242</v>
      </c>
      <c r="F55" s="59" t="s">
        <v>243</v>
      </c>
      <c r="G55" s="59" t="s">
        <v>244</v>
      </c>
      <c r="H55" s="59" t="s">
        <v>245</v>
      </c>
      <c r="I55" s="59" t="s">
        <v>246</v>
      </c>
      <c r="J55" s="59" t="s">
        <v>247</v>
      </c>
    </row>
    <row r="56" spans="1:11" ht="15" customHeight="1" x14ac:dyDescent="0.2">
      <c r="A56" s="64" t="s">
        <v>86</v>
      </c>
      <c r="B56" s="21">
        <f>SUMPRODUCT(('Group Fixtures'!$C$73:$C$78=$A56)*('Group Fixtures'!$E$73:$E$78&lt;&gt;""))+SUMPRODUCT(('Group Fixtures'!$D$73:$D$78=$A56)*('Group Fixtures'!$F$73:$F$78&lt;&gt;""))</f>
        <v>0</v>
      </c>
      <c r="C56" s="21">
        <f>SUMPRODUCT(('Group Fixtures'!$C$73:$C$78=$A56)*('Group Fixtures'!$E$73:$E$78&lt;&gt;"")*('Group Fixtures'!$E$73:$E$78&gt;'Group Fixtures'!$F$73:$F$78))+SUMPRODUCT(('Group Fixtures'!$D$73:$D$78=$A56)*('Group Fixtures'!$F$73:$F$78&lt;&gt;"")*('Group Fixtures'!$F$73:$F$78&gt;'Group Fixtures'!$E$73:$E$78))</f>
        <v>0</v>
      </c>
      <c r="D56" s="21">
        <f>SUMPRODUCT(('Group Fixtures'!$C$73:$C$78=$A56)*('Group Fixtures'!$E$73:$E$78&lt;&gt;"")*('Group Fixtures'!$E$73:$E$78='Group Fixtures'!$F$73:$F$78))+SUMPRODUCT(('Group Fixtures'!$D$73:$D$78=$A56)*('Group Fixtures'!$F$73:$F$78&lt;&gt;"")*('Group Fixtures'!$E$73:$E$78='Group Fixtures'!$F$73:$F$78))</f>
        <v>0</v>
      </c>
      <c r="E56" s="21">
        <f>B56-C56-D56</f>
        <v>0</v>
      </c>
      <c r="F56" s="21">
        <f>SUMIF('Group Fixtures'!$C$73:$C$78,$A56,'Group Fixtures'!$E$73:$E$78)+SUMIF('Group Fixtures'!$D$73:$D$78,$A56,'Group Fixtures'!$F$73:$F$78)</f>
        <v>0</v>
      </c>
      <c r="G56" s="21">
        <f>SUMIF('Group Fixtures'!$C$73:$C$78,$A56,'Group Fixtures'!$F$73:$F$78)+SUMIF('Group Fixtures'!$D$73:$D$78,$A56,'Group Fixtures'!$E$73:$E$78)</f>
        <v>0</v>
      </c>
      <c r="H56" s="21">
        <f>F56-G56</f>
        <v>0</v>
      </c>
      <c r="I56" s="21">
        <f>C56*3+D56*1</f>
        <v>0</v>
      </c>
      <c r="J56" s="21">
        <f>RANK(K56,$K$56:$K$59,0)</f>
        <v>1</v>
      </c>
      <c r="K56" s="65">
        <f>I56*1000+H56*10-ROW()*0.0000001</f>
        <v>-5.5999999999999997E-6</v>
      </c>
    </row>
    <row r="57" spans="1:11" ht="15" customHeight="1" x14ac:dyDescent="0.2">
      <c r="A57" s="64" t="s">
        <v>99</v>
      </c>
      <c r="B57" s="21">
        <f>SUMPRODUCT(('Group Fixtures'!$C$73:$C$78=$A57)*('Group Fixtures'!$E$73:$E$78&lt;&gt;""))+SUMPRODUCT(('Group Fixtures'!$D$73:$D$78=$A57)*('Group Fixtures'!$F$73:$F$78&lt;&gt;""))</f>
        <v>0</v>
      </c>
      <c r="C57" s="21">
        <f>SUMPRODUCT(('Group Fixtures'!$C$73:$C$78=$A57)*('Group Fixtures'!$E$73:$E$78&lt;&gt;"")*('Group Fixtures'!$E$73:$E$78&gt;'Group Fixtures'!$F$73:$F$78))+SUMPRODUCT(('Group Fixtures'!$D$73:$D$78=$A57)*('Group Fixtures'!$F$73:$F$78&lt;&gt;"")*('Group Fixtures'!$F$73:$F$78&gt;'Group Fixtures'!$E$73:$E$78))</f>
        <v>0</v>
      </c>
      <c r="D57" s="21">
        <f>SUMPRODUCT(('Group Fixtures'!$C$73:$C$78=$A57)*('Group Fixtures'!$E$73:$E$78&lt;&gt;"")*('Group Fixtures'!$E$73:$E$78='Group Fixtures'!$F$73:$F$78))+SUMPRODUCT(('Group Fixtures'!$D$73:$D$78=$A57)*('Group Fixtures'!$F$73:$F$78&lt;&gt;"")*('Group Fixtures'!$E$73:$E$78='Group Fixtures'!$F$73:$F$78))</f>
        <v>0</v>
      </c>
      <c r="E57" s="21">
        <f>B57-C57-D57</f>
        <v>0</v>
      </c>
      <c r="F57" s="21">
        <f>SUMIF('Group Fixtures'!$C$73:$C$78,$A57,'Group Fixtures'!$E$73:$E$78)+SUMIF('Group Fixtures'!$D$73:$D$78,$A57,'Group Fixtures'!$F$73:$F$78)</f>
        <v>0</v>
      </c>
      <c r="G57" s="21">
        <f>SUMIF('Group Fixtures'!$C$73:$C$78,$A57,'Group Fixtures'!$F$73:$F$78)+SUMIF('Group Fixtures'!$D$73:$D$78,$A57,'Group Fixtures'!$E$73:$E$78)</f>
        <v>0</v>
      </c>
      <c r="H57" s="21">
        <f>F57-G57</f>
        <v>0</v>
      </c>
      <c r="I57" s="21">
        <f>C57*3+D57*1</f>
        <v>0</v>
      </c>
      <c r="J57" s="21">
        <f>RANK(K57,$K$56:$K$59,0)</f>
        <v>2</v>
      </c>
      <c r="K57" s="65">
        <f>I57*1000+H57*10-ROW()*0.0000001</f>
        <v>-5.6999999999999996E-6</v>
      </c>
    </row>
    <row r="58" spans="1:11" ht="15" customHeight="1" x14ac:dyDescent="0.2">
      <c r="A58" s="64" t="s">
        <v>100</v>
      </c>
      <c r="B58" s="21">
        <f>SUMPRODUCT(('Group Fixtures'!$C$73:$C$78=$A58)*('Group Fixtures'!$E$73:$E$78&lt;&gt;""))+SUMPRODUCT(('Group Fixtures'!$D$73:$D$78=$A58)*('Group Fixtures'!$F$73:$F$78&lt;&gt;""))</f>
        <v>0</v>
      </c>
      <c r="C58" s="21">
        <f>SUMPRODUCT(('Group Fixtures'!$C$73:$C$78=$A58)*('Group Fixtures'!$E$73:$E$78&lt;&gt;"")*('Group Fixtures'!$E$73:$E$78&gt;'Group Fixtures'!$F$73:$F$78))+SUMPRODUCT(('Group Fixtures'!$D$73:$D$78=$A58)*('Group Fixtures'!$F$73:$F$78&lt;&gt;"")*('Group Fixtures'!$F$73:$F$78&gt;'Group Fixtures'!$E$73:$E$78))</f>
        <v>0</v>
      </c>
      <c r="D58" s="21">
        <f>SUMPRODUCT(('Group Fixtures'!$C$73:$C$78=$A58)*('Group Fixtures'!$E$73:$E$78&lt;&gt;"")*('Group Fixtures'!$E$73:$E$78='Group Fixtures'!$F$73:$F$78))+SUMPRODUCT(('Group Fixtures'!$D$73:$D$78=$A58)*('Group Fixtures'!$F$73:$F$78&lt;&gt;"")*('Group Fixtures'!$E$73:$E$78='Group Fixtures'!$F$73:$F$78))</f>
        <v>0</v>
      </c>
      <c r="E58" s="21">
        <f>B58-C58-D58</f>
        <v>0</v>
      </c>
      <c r="F58" s="21">
        <f>SUMIF('Group Fixtures'!$C$73:$C$78,$A58,'Group Fixtures'!$E$73:$E$78)+SUMIF('Group Fixtures'!$D$73:$D$78,$A58,'Group Fixtures'!$F$73:$F$78)</f>
        <v>0</v>
      </c>
      <c r="G58" s="21">
        <f>SUMIF('Group Fixtures'!$C$73:$C$78,$A58,'Group Fixtures'!$F$73:$F$78)+SUMIF('Group Fixtures'!$D$73:$D$78,$A58,'Group Fixtures'!$E$73:$E$78)</f>
        <v>0</v>
      </c>
      <c r="H58" s="21">
        <f>F58-G58</f>
        <v>0</v>
      </c>
      <c r="I58" s="21">
        <f>C58*3+D58*1</f>
        <v>0</v>
      </c>
      <c r="J58" s="21">
        <f>RANK(K58,$K$56:$K$59,0)</f>
        <v>3</v>
      </c>
      <c r="K58" s="65">
        <f>I58*1000+H58*10-ROW()*0.0000001</f>
        <v>-5.7999999999999995E-6</v>
      </c>
    </row>
    <row r="59" spans="1:11" ht="15" customHeight="1" x14ac:dyDescent="0.2">
      <c r="A59" s="64" t="s">
        <v>87</v>
      </c>
      <c r="B59" s="21">
        <f>SUMPRODUCT(('Group Fixtures'!$C$73:$C$78=$A59)*('Group Fixtures'!$E$73:$E$78&lt;&gt;""))+SUMPRODUCT(('Group Fixtures'!$D$73:$D$78=$A59)*('Group Fixtures'!$F$73:$F$78&lt;&gt;""))</f>
        <v>0</v>
      </c>
      <c r="C59" s="21">
        <f>SUMPRODUCT(('Group Fixtures'!$C$73:$C$78=$A59)*('Group Fixtures'!$E$73:$E$78&lt;&gt;"")*('Group Fixtures'!$E$73:$E$78&gt;'Group Fixtures'!$F$73:$F$78))+SUMPRODUCT(('Group Fixtures'!$D$73:$D$78=$A59)*('Group Fixtures'!$F$73:$F$78&lt;&gt;"")*('Group Fixtures'!$F$73:$F$78&gt;'Group Fixtures'!$E$73:$E$78))</f>
        <v>0</v>
      </c>
      <c r="D59" s="21">
        <f>SUMPRODUCT(('Group Fixtures'!$C$73:$C$78=$A59)*('Group Fixtures'!$E$73:$E$78&lt;&gt;"")*('Group Fixtures'!$E$73:$E$78='Group Fixtures'!$F$73:$F$78))+SUMPRODUCT(('Group Fixtures'!$D$73:$D$78=$A59)*('Group Fixtures'!$F$73:$F$78&lt;&gt;"")*('Group Fixtures'!$E$73:$E$78='Group Fixtures'!$F$73:$F$78))</f>
        <v>0</v>
      </c>
      <c r="E59" s="21">
        <f>B59-C59-D59</f>
        <v>0</v>
      </c>
      <c r="F59" s="21">
        <f>SUMIF('Group Fixtures'!$C$73:$C$78,$A59,'Group Fixtures'!$E$73:$E$78)+SUMIF('Group Fixtures'!$D$73:$D$78,$A59,'Group Fixtures'!$F$73:$F$78)</f>
        <v>0</v>
      </c>
      <c r="G59" s="21">
        <f>SUMIF('Group Fixtures'!$C$73:$C$78,$A59,'Group Fixtures'!$F$73:$F$78)+SUMIF('Group Fixtures'!$D$73:$D$78,$A59,'Group Fixtures'!$E$73:$E$78)</f>
        <v>0</v>
      </c>
      <c r="H59" s="21">
        <f>F59-G59</f>
        <v>0</v>
      </c>
      <c r="I59" s="21">
        <f>C59*3+D59*1</f>
        <v>0</v>
      </c>
      <c r="J59" s="21">
        <f>RANK(K59,$K$56:$K$59,0)</f>
        <v>4</v>
      </c>
      <c r="K59" s="65">
        <f>I59*1000+H59*10-ROW()*0.0000001</f>
        <v>-5.8999999999999994E-6</v>
      </c>
    </row>
  </sheetData>
  <mergeCells count="10">
    <mergeCell ref="A26:J26"/>
    <mergeCell ref="A33:J33"/>
    <mergeCell ref="A40:J40"/>
    <mergeCell ref="A47:J47"/>
    <mergeCell ref="A54:J54"/>
    <mergeCell ref="A1:J1"/>
    <mergeCell ref="A2:J2"/>
    <mergeCell ref="A4:J4"/>
    <mergeCell ref="A12:J12"/>
    <mergeCell ref="A19:J1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showGridLines="0" view="pageBreakPreview" zoomScaleNormal="100" workbookViewId="0">
      <selection activeCell="D5" sqref="D5"/>
    </sheetView>
  </sheetViews>
  <sheetFormatPr baseColWidth="10" defaultColWidth="8.6640625" defaultRowHeight="15" x14ac:dyDescent="0.2"/>
  <cols>
    <col min="1" max="1" width="12" style="15" customWidth="1"/>
    <col min="2" max="3" width="26" style="15" customWidth="1"/>
    <col min="4" max="4" width="16" style="15" customWidth="1"/>
  </cols>
  <sheetData>
    <row r="1" spans="1:4" ht="21.75" customHeight="1" x14ac:dyDescent="0.2">
      <c r="A1" s="14" t="s">
        <v>248</v>
      </c>
      <c r="B1" s="14"/>
      <c r="C1" s="14"/>
      <c r="D1" s="14"/>
    </row>
    <row r="2" spans="1:4" ht="15" customHeight="1" x14ac:dyDescent="0.2">
      <c r="A2" s="69" t="s">
        <v>249</v>
      </c>
      <c r="B2" s="69"/>
      <c r="C2" s="69"/>
      <c r="D2" s="69"/>
    </row>
    <row r="4" spans="1:4" ht="15" customHeight="1" x14ac:dyDescent="0.2">
      <c r="A4" s="59" t="s">
        <v>20</v>
      </c>
      <c r="B4" s="59" t="s">
        <v>250</v>
      </c>
      <c r="C4" s="59" t="s">
        <v>251</v>
      </c>
      <c r="D4" s="59" t="s">
        <v>8</v>
      </c>
    </row>
    <row r="5" spans="1:4" ht="15" customHeight="1" x14ac:dyDescent="0.2">
      <c r="A5" s="66" t="s">
        <v>25</v>
      </c>
      <c r="B5" s="21" t="str">
        <f>INDEX(Standings!$A$6:$A$10,MATCH(1,Standings!$J$6:$J$10,0))</f>
        <v>A1</v>
      </c>
      <c r="C5" s="21" t="str">
        <f>INDEX(Standings!$A$6:$A$10,MATCH(2,Standings!$J$6:$J$10,0))</f>
        <v>A2</v>
      </c>
      <c r="D5" s="71" t="s">
        <v>27</v>
      </c>
    </row>
    <row r="6" spans="1:4" ht="15" customHeight="1" x14ac:dyDescent="0.2">
      <c r="A6" s="66" t="s">
        <v>28</v>
      </c>
      <c r="B6" s="21" t="str">
        <f>INDEX(Standings!$A$14:$A$17,MATCH(1,Standings!$J$14:$J$17,0))</f>
        <v>B1</v>
      </c>
      <c r="C6" s="21" t="str">
        <f>INDEX(Standings!$A$14:$A$17,MATCH(2,Standings!$J$14:$J$17,0))</f>
        <v>B2</v>
      </c>
      <c r="D6" s="71"/>
    </row>
    <row r="7" spans="1:4" ht="15" customHeight="1" x14ac:dyDescent="0.2">
      <c r="A7" s="66" t="s">
        <v>30</v>
      </c>
      <c r="B7" s="21" t="str">
        <f>INDEX(Standings!$A$21:$A$24,MATCH(1,Standings!$J$21:$J$24,0))</f>
        <v>C1</v>
      </c>
      <c r="C7" s="21" t="str">
        <f>INDEX(Standings!$A$21:$A$24,MATCH(2,Standings!$J$21:$J$24,0))</f>
        <v>C2</v>
      </c>
      <c r="D7" s="71"/>
    </row>
    <row r="8" spans="1:4" ht="15" customHeight="1" x14ac:dyDescent="0.2">
      <c r="A8" s="66" t="s">
        <v>32</v>
      </c>
      <c r="B8" s="21" t="str">
        <f>INDEX(Standings!$A$28:$A$31,MATCH(1,Standings!$J$28:$J$31,0))</f>
        <v>D1</v>
      </c>
      <c r="C8" s="21" t="str">
        <f>INDEX(Standings!$A$28:$A$31,MATCH(2,Standings!$J$28:$J$31,0))</f>
        <v>D2</v>
      </c>
      <c r="D8" s="71"/>
    </row>
    <row r="9" spans="1:4" ht="15" customHeight="1" x14ac:dyDescent="0.2">
      <c r="A9" s="66" t="s">
        <v>34</v>
      </c>
      <c r="B9" s="21" t="str">
        <f>INDEX(Standings!$A$35:$A$38,MATCH(1,Standings!$J$35:$J$38,0))</f>
        <v>E1</v>
      </c>
      <c r="C9" s="21" t="str">
        <f>INDEX(Standings!$A$35:$A$38,MATCH(2,Standings!$J$35:$J$38,0))</f>
        <v>E2</v>
      </c>
      <c r="D9" s="71"/>
    </row>
    <row r="10" spans="1:4" ht="15" customHeight="1" x14ac:dyDescent="0.2">
      <c r="A10" s="66" t="s">
        <v>36</v>
      </c>
      <c r="B10" s="21" t="str">
        <f>INDEX(Standings!$A$42:$A$45,MATCH(1,Standings!$J$42:$J$45,0))</f>
        <v>F1</v>
      </c>
      <c r="C10" s="21" t="str">
        <f>INDEX(Standings!$A$42:$A$45,MATCH(2,Standings!$J$42:$J$45,0))</f>
        <v>F2</v>
      </c>
      <c r="D10" s="71"/>
    </row>
    <row r="11" spans="1:4" ht="15" customHeight="1" x14ac:dyDescent="0.2">
      <c r="A11" s="66" t="s">
        <v>38</v>
      </c>
      <c r="B11" s="21" t="str">
        <f>INDEX(Standings!$A$49:$A$52,MATCH(1,Standings!$J$49:$J$52,0))</f>
        <v>G1</v>
      </c>
      <c r="C11" s="21" t="str">
        <f>INDEX(Standings!$A$49:$A$52,MATCH(2,Standings!$J$49:$J$52,0))</f>
        <v>G2</v>
      </c>
      <c r="D11" s="71"/>
    </row>
    <row r="12" spans="1:4" ht="15" customHeight="1" x14ac:dyDescent="0.2">
      <c r="A12" s="66" t="s">
        <v>40</v>
      </c>
      <c r="B12" s="21" t="str">
        <f>INDEX(Standings!$A$56:$A$59,MATCH(1,Standings!$J$56:$J$59,0))</f>
        <v>H1</v>
      </c>
      <c r="C12" s="21" t="str">
        <f>INDEX(Standings!$A$56:$A$59,MATCH(2,Standings!$J$56:$J$59,0))</f>
        <v>H2</v>
      </c>
      <c r="D12" s="71"/>
    </row>
  </sheetData>
  <mergeCells count="3">
    <mergeCell ref="A1:D1"/>
    <mergeCell ref="A2:D2"/>
    <mergeCell ref="D5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showGridLines="0" view="pageBreakPreview" zoomScaleNormal="100" workbookViewId="0">
      <selection activeCell="G4" sqref="G4"/>
    </sheetView>
  </sheetViews>
  <sheetFormatPr baseColWidth="10" defaultColWidth="8.6640625" defaultRowHeight="15" x14ac:dyDescent="0.2"/>
  <cols>
    <col min="1" max="1" width="10" style="15" customWidth="1"/>
    <col min="2" max="3" width="26" style="15" customWidth="1"/>
    <col min="4" max="5" width="12" style="15" customWidth="1"/>
    <col min="6" max="6" width="20" style="15" customWidth="1"/>
    <col min="7" max="7" width="22" style="15" customWidth="1"/>
    <col min="8" max="8" width="14" style="15" customWidth="1"/>
    <col min="9" max="9" width="19" style="15" customWidth="1"/>
  </cols>
  <sheetData>
    <row r="1" spans="1:9" ht="21.75" customHeight="1" x14ac:dyDescent="0.2">
      <c r="A1" s="14" t="s">
        <v>252</v>
      </c>
      <c r="B1" s="14"/>
      <c r="C1" s="14"/>
      <c r="D1" s="14"/>
      <c r="E1" s="14"/>
      <c r="F1" s="14"/>
      <c r="G1" s="14"/>
      <c r="H1" s="14"/>
      <c r="I1" s="14"/>
    </row>
    <row r="3" spans="1:9" ht="15" customHeight="1" x14ac:dyDescent="0.2">
      <c r="A3" s="59" t="s">
        <v>64</v>
      </c>
      <c r="B3" s="59" t="s">
        <v>69</v>
      </c>
      <c r="C3" s="59" t="s">
        <v>70</v>
      </c>
      <c r="D3" s="59" t="s">
        <v>235</v>
      </c>
      <c r="E3" s="59" t="s">
        <v>236</v>
      </c>
      <c r="F3" s="59" t="s">
        <v>253</v>
      </c>
      <c r="G3" s="59" t="s">
        <v>8</v>
      </c>
      <c r="H3" s="52" t="s">
        <v>65</v>
      </c>
      <c r="I3" s="52" t="s">
        <v>67</v>
      </c>
    </row>
    <row r="4" spans="1:9" ht="15" customHeight="1" x14ac:dyDescent="0.2">
      <c r="A4" s="21">
        <v>1</v>
      </c>
      <c r="B4" s="60" t="str">
        <f>Qualifiers!$B$5</f>
        <v>A1</v>
      </c>
      <c r="C4" s="60" t="str">
        <f>Qualifiers!$C$6</f>
        <v>B2</v>
      </c>
      <c r="D4" s="61"/>
      <c r="E4" s="61"/>
      <c r="F4" s="66" t="str">
        <f t="shared" ref="F4:F11" si="0">IF(OR(D4="",E4=""),"",IF(D4&gt;E4,B4,IF(E4&gt;D4,C4,"REPLAY")))</f>
        <v/>
      </c>
      <c r="G4" s="71" t="s">
        <v>27</v>
      </c>
      <c r="H4" s="62" t="str">
        <f>IFERROR(INDEX('Match Schedule'!$B$6:$B$79,MATCH("R16-M"&amp;A4,'Match Schedule'!#REF!,0)),"")</f>
        <v/>
      </c>
      <c r="I4" s="63" t="str">
        <f>IFERROR(INDEX('Match Schedule'!$D$6:$D$79,MATCH("R16-M"&amp;A4,'Match Schedule'!#REF!,0)),"")</f>
        <v/>
      </c>
    </row>
    <row r="5" spans="1:9" ht="15" customHeight="1" x14ac:dyDescent="0.2">
      <c r="A5" s="21">
        <v>2</v>
      </c>
      <c r="B5" s="60" t="str">
        <f>Qualifiers!$B$7</f>
        <v>C1</v>
      </c>
      <c r="C5" s="60" t="str">
        <f>Qualifiers!$C$8</f>
        <v>D2</v>
      </c>
      <c r="D5" s="61"/>
      <c r="E5" s="61"/>
      <c r="F5" s="66" t="str">
        <f t="shared" si="0"/>
        <v/>
      </c>
      <c r="G5" s="71"/>
      <c r="H5" s="62" t="str">
        <f>IFERROR(INDEX('Match Schedule'!$B$6:$B$79,MATCH("R16-M"&amp;A5,'Match Schedule'!#REF!,0)),"")</f>
        <v/>
      </c>
      <c r="I5" s="63" t="str">
        <f>IFERROR(INDEX('Match Schedule'!$D$6:$D$79,MATCH("R16-M"&amp;A5,'Match Schedule'!#REF!,0)),"")</f>
        <v/>
      </c>
    </row>
    <row r="6" spans="1:9" ht="15" customHeight="1" x14ac:dyDescent="0.2">
      <c r="A6" s="21">
        <v>3</v>
      </c>
      <c r="B6" s="60" t="str">
        <f>Qualifiers!$B$9</f>
        <v>E1</v>
      </c>
      <c r="C6" s="60" t="str">
        <f>Qualifiers!$C$10</f>
        <v>F2</v>
      </c>
      <c r="D6" s="61"/>
      <c r="E6" s="61"/>
      <c r="F6" s="66" t="str">
        <f t="shared" si="0"/>
        <v/>
      </c>
      <c r="G6" s="71"/>
      <c r="H6" s="62" t="str">
        <f>IFERROR(INDEX('Match Schedule'!$B$6:$B$79,MATCH("R16-M"&amp;A6,'Match Schedule'!#REF!,0)),"")</f>
        <v/>
      </c>
      <c r="I6" s="63" t="str">
        <f>IFERROR(INDEX('Match Schedule'!$D$6:$D$79,MATCH("R16-M"&amp;A6,'Match Schedule'!#REF!,0)),"")</f>
        <v/>
      </c>
    </row>
    <row r="7" spans="1:9" ht="15" customHeight="1" x14ac:dyDescent="0.2">
      <c r="A7" s="21">
        <v>4</v>
      </c>
      <c r="B7" s="60" t="str">
        <f>Qualifiers!$B$11</f>
        <v>G1</v>
      </c>
      <c r="C7" s="60" t="str">
        <f>Qualifiers!$C$12</f>
        <v>H2</v>
      </c>
      <c r="D7" s="61"/>
      <c r="E7" s="61"/>
      <c r="F7" s="66" t="str">
        <f t="shared" si="0"/>
        <v/>
      </c>
      <c r="G7" s="71"/>
      <c r="H7" s="62" t="str">
        <f>IFERROR(INDEX('Match Schedule'!$B$6:$B$79,MATCH("R16-M"&amp;A7,'Match Schedule'!#REF!,0)),"")</f>
        <v/>
      </c>
      <c r="I7" s="63" t="str">
        <f>IFERROR(INDEX('Match Schedule'!$D$6:$D$79,MATCH("R16-M"&amp;A7,'Match Schedule'!#REF!,0)),"")</f>
        <v/>
      </c>
    </row>
    <row r="8" spans="1:9" ht="15" customHeight="1" x14ac:dyDescent="0.2">
      <c r="A8" s="21">
        <v>5</v>
      </c>
      <c r="B8" s="60" t="str">
        <f>Qualifiers!$B$6</f>
        <v>B1</v>
      </c>
      <c r="C8" s="60" t="str">
        <f>Qualifiers!$C$5</f>
        <v>A2</v>
      </c>
      <c r="D8" s="61"/>
      <c r="E8" s="61"/>
      <c r="F8" s="66" t="str">
        <f t="shared" si="0"/>
        <v/>
      </c>
      <c r="G8" s="71"/>
      <c r="H8" s="62" t="str">
        <f>IFERROR(INDEX('Match Schedule'!$B$6:$B$79,MATCH("R16-M"&amp;A8,'Match Schedule'!#REF!,0)),"")</f>
        <v/>
      </c>
      <c r="I8" s="63" t="str">
        <f>IFERROR(INDEX('Match Schedule'!$D$6:$D$79,MATCH("R16-M"&amp;A8,'Match Schedule'!#REF!,0)),"")</f>
        <v/>
      </c>
    </row>
    <row r="9" spans="1:9" ht="15" customHeight="1" x14ac:dyDescent="0.2">
      <c r="A9" s="21">
        <v>6</v>
      </c>
      <c r="B9" s="60" t="str">
        <f>Qualifiers!$B$8</f>
        <v>D1</v>
      </c>
      <c r="C9" s="60" t="str">
        <f>Qualifiers!$C$7</f>
        <v>C2</v>
      </c>
      <c r="D9" s="61"/>
      <c r="E9" s="61"/>
      <c r="F9" s="66" t="str">
        <f t="shared" si="0"/>
        <v/>
      </c>
      <c r="G9" s="71"/>
      <c r="H9" s="62" t="str">
        <f>IFERROR(INDEX('Match Schedule'!$B$6:$B$79,MATCH("R16-M"&amp;A9,'Match Schedule'!#REF!,0)),"")</f>
        <v/>
      </c>
      <c r="I9" s="63" t="str">
        <f>IFERROR(INDEX('Match Schedule'!$D$6:$D$79,MATCH("R16-M"&amp;A9,'Match Schedule'!#REF!,0)),"")</f>
        <v/>
      </c>
    </row>
    <row r="10" spans="1:9" ht="15" customHeight="1" x14ac:dyDescent="0.2">
      <c r="A10" s="21">
        <v>7</v>
      </c>
      <c r="B10" s="60" t="str">
        <f>Qualifiers!$B$10</f>
        <v>F1</v>
      </c>
      <c r="C10" s="60" t="str">
        <f>Qualifiers!$C$9</f>
        <v>E2</v>
      </c>
      <c r="D10" s="61"/>
      <c r="E10" s="61"/>
      <c r="F10" s="66" t="str">
        <f t="shared" si="0"/>
        <v/>
      </c>
      <c r="G10" s="71"/>
      <c r="H10" s="62" t="str">
        <f>IFERROR(INDEX('Match Schedule'!$B$6:$B$79,MATCH("R16-M"&amp;A10,'Match Schedule'!#REF!,0)),"")</f>
        <v/>
      </c>
      <c r="I10" s="63" t="str">
        <f>IFERROR(INDEX('Match Schedule'!$D$6:$D$79,MATCH("R16-M"&amp;A10,'Match Schedule'!#REF!,0)),"")</f>
        <v/>
      </c>
    </row>
    <row r="11" spans="1:9" ht="15" customHeight="1" x14ac:dyDescent="0.2">
      <c r="A11" s="21">
        <v>8</v>
      </c>
      <c r="B11" s="60" t="str">
        <f>Qualifiers!$B$12</f>
        <v>H1</v>
      </c>
      <c r="C11" s="60" t="str">
        <f>Qualifiers!$C$11</f>
        <v>G2</v>
      </c>
      <c r="D11" s="61"/>
      <c r="E11" s="61"/>
      <c r="F11" s="66" t="str">
        <f t="shared" si="0"/>
        <v/>
      </c>
      <c r="G11" s="71"/>
      <c r="H11" s="62" t="str">
        <f>IFERROR(INDEX('Match Schedule'!$B$6:$B$79,MATCH("R16-M"&amp;A11,'Match Schedule'!#REF!,0)),"")</f>
        <v/>
      </c>
      <c r="I11" s="63" t="str">
        <f>IFERROR(INDEX('Match Schedule'!$D$6:$D$79,MATCH("R16-M"&amp;A11,'Match Schedule'!#REF!,0)),"")</f>
        <v/>
      </c>
    </row>
  </sheetData>
  <mergeCells count="2">
    <mergeCell ref="A1:I1"/>
    <mergeCell ref="G4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showGridLines="0" view="pageBreakPreview" zoomScaleNormal="100" workbookViewId="0">
      <selection activeCell="G4" sqref="G4"/>
    </sheetView>
  </sheetViews>
  <sheetFormatPr baseColWidth="10" defaultColWidth="8.6640625" defaultRowHeight="15" x14ac:dyDescent="0.2"/>
  <cols>
    <col min="1" max="1" width="10" style="15" customWidth="1"/>
    <col min="2" max="3" width="26" style="15" customWidth="1"/>
    <col min="4" max="5" width="12" style="15" customWidth="1"/>
    <col min="6" max="6" width="20" style="15" customWidth="1"/>
    <col min="7" max="7" width="22" style="15" customWidth="1"/>
    <col min="8" max="8" width="14" style="15" customWidth="1"/>
    <col min="9" max="9" width="19" style="15" customWidth="1"/>
  </cols>
  <sheetData>
    <row r="1" spans="1:9" ht="21.75" customHeight="1" x14ac:dyDescent="0.2">
      <c r="A1" s="14" t="s">
        <v>254</v>
      </c>
      <c r="B1" s="14"/>
      <c r="C1" s="14"/>
      <c r="D1" s="14"/>
      <c r="E1" s="14"/>
      <c r="F1" s="14"/>
      <c r="G1" s="14"/>
      <c r="H1" s="14"/>
      <c r="I1" s="14"/>
    </row>
    <row r="3" spans="1:9" ht="15" customHeight="1" x14ac:dyDescent="0.2">
      <c r="A3" s="59" t="s">
        <v>64</v>
      </c>
      <c r="B3" s="59" t="s">
        <v>69</v>
      </c>
      <c r="C3" s="59" t="s">
        <v>70</v>
      </c>
      <c r="D3" s="59" t="s">
        <v>235</v>
      </c>
      <c r="E3" s="59" t="s">
        <v>236</v>
      </c>
      <c r="F3" s="59" t="s">
        <v>253</v>
      </c>
      <c r="G3" s="59" t="s">
        <v>8</v>
      </c>
      <c r="H3" s="52" t="s">
        <v>65</v>
      </c>
      <c r="I3" s="52" t="s">
        <v>67</v>
      </c>
    </row>
    <row r="4" spans="1:9" ht="15" customHeight="1" x14ac:dyDescent="0.2">
      <c r="A4" s="21">
        <v>1</v>
      </c>
      <c r="B4" s="60" t="str">
        <f>'Round of 16'!$F$4</f>
        <v/>
      </c>
      <c r="C4" s="60" t="str">
        <f>'Round of 16'!$F$5</f>
        <v/>
      </c>
      <c r="D4" s="61"/>
      <c r="E4" s="61"/>
      <c r="F4" s="66" t="str">
        <f>IF(OR(D4="",E4=""),"",IF(D4&gt;E4,B4,IF(E4&gt;D4,C4,"REPLAY")))</f>
        <v/>
      </c>
      <c r="G4" s="71" t="s">
        <v>27</v>
      </c>
      <c r="H4" s="62" t="str">
        <f>IFERROR(INDEX('Match Schedule'!$B$6:$B$79,MATCH("QF"&amp;A4,'Match Schedule'!#REF!,0)),"")</f>
        <v/>
      </c>
      <c r="I4" s="63" t="str">
        <f>IFERROR(INDEX('Match Schedule'!$D$6:$D$79,MATCH("QF"&amp;A4,'Match Schedule'!#REF!,0)),"")</f>
        <v/>
      </c>
    </row>
    <row r="5" spans="1:9" ht="15" customHeight="1" x14ac:dyDescent="0.2">
      <c r="A5" s="21">
        <v>2</v>
      </c>
      <c r="B5" s="60" t="str">
        <f>'Round of 16'!$F$6</f>
        <v/>
      </c>
      <c r="C5" s="60" t="str">
        <f>'Round of 16'!$F$7</f>
        <v/>
      </c>
      <c r="D5" s="61"/>
      <c r="E5" s="61"/>
      <c r="F5" s="66" t="str">
        <f>IF(OR(D5="",E5=""),"",IF(D5&gt;E5,B5,IF(E5&gt;D5,C5,"REPLAY")))</f>
        <v/>
      </c>
      <c r="G5" s="71"/>
      <c r="H5" s="62" t="str">
        <f>IFERROR(INDEX('Match Schedule'!$B$6:$B$79,MATCH("QF"&amp;A5,'Match Schedule'!#REF!,0)),"")</f>
        <v/>
      </c>
      <c r="I5" s="63" t="str">
        <f>IFERROR(INDEX('Match Schedule'!$D$6:$D$79,MATCH("QF"&amp;A5,'Match Schedule'!#REF!,0)),"")</f>
        <v/>
      </c>
    </row>
    <row r="6" spans="1:9" ht="15" customHeight="1" x14ac:dyDescent="0.2">
      <c r="A6" s="21">
        <v>3</v>
      </c>
      <c r="B6" s="60" t="str">
        <f>'Round of 16'!$F$8</f>
        <v/>
      </c>
      <c r="C6" s="60" t="str">
        <f>'Round of 16'!$F$9</f>
        <v/>
      </c>
      <c r="D6" s="61"/>
      <c r="E6" s="61"/>
      <c r="F6" s="66" t="str">
        <f>IF(OR(D6="",E6=""),"",IF(D6&gt;E6,B6,IF(E6&gt;D6,C6,"REPLAY")))</f>
        <v/>
      </c>
      <c r="G6" s="71"/>
      <c r="H6" s="62" t="str">
        <f>IFERROR(INDEX('Match Schedule'!$B$6:$B$79,MATCH("QF"&amp;A6,'Match Schedule'!#REF!,0)),"")</f>
        <v/>
      </c>
      <c r="I6" s="63" t="str">
        <f>IFERROR(INDEX('Match Schedule'!$D$6:$D$79,MATCH("QF"&amp;A6,'Match Schedule'!#REF!,0)),"")</f>
        <v/>
      </c>
    </row>
    <row r="7" spans="1:9" ht="15" customHeight="1" x14ac:dyDescent="0.2">
      <c r="A7" s="21">
        <v>4</v>
      </c>
      <c r="B7" s="60" t="str">
        <f>'Round of 16'!$F$10</f>
        <v/>
      </c>
      <c r="C7" s="60" t="str">
        <f>'Round of 16'!$F$11</f>
        <v/>
      </c>
      <c r="D7" s="61"/>
      <c r="E7" s="61"/>
      <c r="F7" s="66" t="str">
        <f>IF(OR(D7="",E7=""),"",IF(D7&gt;E7,B7,IF(E7&gt;D7,C7,"REPLAY")))</f>
        <v/>
      </c>
      <c r="G7" s="71"/>
      <c r="H7" s="62" t="str">
        <f>IFERROR(INDEX('Match Schedule'!$B$6:$B$79,MATCH("QF"&amp;A7,'Match Schedule'!#REF!,0)),"")</f>
        <v/>
      </c>
      <c r="I7" s="63" t="str">
        <f>IFERROR(INDEX('Match Schedule'!$D$6:$D$79,MATCH("QF"&amp;A7,'Match Schedule'!#REF!,0)),"")</f>
        <v/>
      </c>
    </row>
  </sheetData>
  <mergeCells count="2">
    <mergeCell ref="A1:I1"/>
    <mergeCell ref="G4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showGridLines="0" view="pageBreakPreview" zoomScaleNormal="100" workbookViewId="0">
      <selection activeCell="G4" sqref="G4"/>
    </sheetView>
  </sheetViews>
  <sheetFormatPr baseColWidth="10" defaultColWidth="8.6640625" defaultRowHeight="15" x14ac:dyDescent="0.2"/>
  <cols>
    <col min="1" max="1" width="10" style="15" customWidth="1"/>
    <col min="2" max="3" width="26" style="15" customWidth="1"/>
    <col min="4" max="5" width="12" style="15" customWidth="1"/>
    <col min="6" max="6" width="20" style="15" customWidth="1"/>
    <col min="7" max="7" width="22" style="15" customWidth="1"/>
    <col min="8" max="8" width="14" style="15" customWidth="1"/>
    <col min="9" max="9" width="19" style="15" customWidth="1"/>
  </cols>
  <sheetData>
    <row r="1" spans="1:10" ht="21.75" customHeight="1" x14ac:dyDescent="0.2">
      <c r="A1" s="14" t="s">
        <v>255</v>
      </c>
      <c r="B1" s="14"/>
      <c r="C1" s="14"/>
      <c r="D1" s="14"/>
      <c r="E1" s="14"/>
      <c r="F1" s="14"/>
      <c r="G1" s="14"/>
      <c r="H1" s="14"/>
      <c r="I1" s="14"/>
    </row>
    <row r="3" spans="1:10" ht="15" customHeight="1" x14ac:dyDescent="0.2">
      <c r="A3" s="59" t="s">
        <v>64</v>
      </c>
      <c r="B3" s="59" t="s">
        <v>69</v>
      </c>
      <c r="C3" s="59" t="s">
        <v>70</v>
      </c>
      <c r="D3" s="59" t="s">
        <v>235</v>
      </c>
      <c r="E3" s="59" t="s">
        <v>236</v>
      </c>
      <c r="F3" s="59" t="s">
        <v>253</v>
      </c>
      <c r="G3" s="59" t="s">
        <v>8</v>
      </c>
      <c r="H3" s="52" t="s">
        <v>65</v>
      </c>
      <c r="I3" s="52" t="s">
        <v>67</v>
      </c>
      <c r="J3" s="15" t="s">
        <v>256</v>
      </c>
    </row>
    <row r="4" spans="1:10" ht="15" customHeight="1" x14ac:dyDescent="0.2">
      <c r="A4" s="21">
        <v>1</v>
      </c>
      <c r="B4" s="60" t="str">
        <f>'Quarter-Finals'!$F$4</f>
        <v/>
      </c>
      <c r="C4" s="60" t="str">
        <f>'Quarter-Finals'!$F$5</f>
        <v/>
      </c>
      <c r="D4" s="61"/>
      <c r="E4" s="61"/>
      <c r="F4" s="66" t="str">
        <f>IF(OR(D4="",E4=""),"",IF(D4&gt;E4,B4,IF(E4&gt;D4,C4,"REPLAY")))</f>
        <v/>
      </c>
      <c r="G4" s="71" t="s">
        <v>27</v>
      </c>
      <c r="H4" s="62" t="str">
        <f>IFERROR(INDEX('Match Schedule'!$B$6:$B$79,MATCH("SF"&amp;A4,'Match Schedule'!#REF!,0)),"")</f>
        <v/>
      </c>
      <c r="I4" s="63" t="str">
        <f>IFERROR(INDEX('Match Schedule'!$D$6:$D$79,MATCH("SF"&amp;A4,'Match Schedule'!#REF!,0)),"")</f>
        <v/>
      </c>
      <c r="J4" s="15" t="str">
        <f>IF(OR(D4="",E4=""),"",IF(D4&gt;E4,C4,IF(E4&gt;D4,B4,"REPLAY")))</f>
        <v/>
      </c>
    </row>
    <row r="5" spans="1:10" ht="15" customHeight="1" x14ac:dyDescent="0.2">
      <c r="A5" s="21">
        <v>2</v>
      </c>
      <c r="B5" s="60" t="str">
        <f>'Quarter-Finals'!$F$6</f>
        <v/>
      </c>
      <c r="C5" s="60" t="str">
        <f>'Quarter-Finals'!$F$7</f>
        <v/>
      </c>
      <c r="D5" s="61"/>
      <c r="E5" s="61"/>
      <c r="F5" s="66" t="str">
        <f>IF(OR(D5="",E5=""),"",IF(D5&gt;E5,B5,IF(E5&gt;D5,C5,"REPLAY")))</f>
        <v/>
      </c>
      <c r="G5" s="71"/>
      <c r="H5" s="62" t="str">
        <f>IFERROR(INDEX('Match Schedule'!$B$6:$B$79,MATCH("SF"&amp;A5,'Match Schedule'!#REF!,0)),"")</f>
        <v/>
      </c>
      <c r="I5" s="63" t="str">
        <f>IFERROR(INDEX('Match Schedule'!$D$6:$D$79,MATCH("SF"&amp;A5,'Match Schedule'!#REF!,0)),"")</f>
        <v/>
      </c>
      <c r="J5" s="15" t="str">
        <f>IF(OR(D5="",E5=""),"",IF(D5&gt;E5,C5,IF(E5&gt;D5,B5,"REPLAY")))</f>
        <v/>
      </c>
    </row>
  </sheetData>
  <mergeCells count="2">
    <mergeCell ref="A1:I1"/>
    <mergeCell ref="G4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"/>
  <sheetViews>
    <sheetView showGridLines="0" view="pageBreakPreview" zoomScaleNormal="100" workbookViewId="0"/>
  </sheetViews>
  <sheetFormatPr baseColWidth="10" defaultColWidth="8.6640625" defaultRowHeight="15" x14ac:dyDescent="0.2"/>
  <cols>
    <col min="1" max="1" width="10" style="15" customWidth="1"/>
    <col min="2" max="3" width="26" style="15" customWidth="1"/>
    <col min="4" max="5" width="12" style="15" customWidth="1"/>
    <col min="6" max="6" width="20" style="15" customWidth="1"/>
    <col min="7" max="7" width="22" style="15" customWidth="1"/>
    <col min="8" max="8" width="14" style="15" customWidth="1"/>
    <col min="9" max="9" width="19" style="15" customWidth="1"/>
  </cols>
  <sheetData>
    <row r="1" spans="1:9" ht="21.75" customHeight="1" x14ac:dyDescent="0.2">
      <c r="A1" s="14" t="s">
        <v>257</v>
      </c>
      <c r="B1" s="14"/>
      <c r="C1" s="14"/>
      <c r="D1" s="14"/>
      <c r="E1" s="14"/>
      <c r="F1" s="14"/>
      <c r="G1" s="14"/>
      <c r="H1" s="14"/>
      <c r="I1" s="14"/>
    </row>
    <row r="3" spans="1:9" ht="15" customHeight="1" x14ac:dyDescent="0.2">
      <c r="A3" s="59" t="s">
        <v>64</v>
      </c>
      <c r="B3" s="59" t="s">
        <v>69</v>
      </c>
      <c r="C3" s="59" t="s">
        <v>70</v>
      </c>
      <c r="D3" s="59" t="s">
        <v>235</v>
      </c>
      <c r="E3" s="59" t="s">
        <v>236</v>
      </c>
      <c r="F3" s="59" t="s">
        <v>253</v>
      </c>
      <c r="G3" s="59" t="s">
        <v>8</v>
      </c>
      <c r="H3" s="52" t="s">
        <v>65</v>
      </c>
      <c r="I3" s="52" t="s">
        <v>67</v>
      </c>
    </row>
    <row r="4" spans="1:9" ht="15" customHeight="1" x14ac:dyDescent="0.2">
      <c r="A4" s="21">
        <v>1</v>
      </c>
      <c r="B4" s="60" t="str">
        <f>'Semi-Finals'!$F$4</f>
        <v/>
      </c>
      <c r="C4" s="60" t="str">
        <f>'Semi-Finals'!$F$5</f>
        <v/>
      </c>
      <c r="D4" s="61"/>
      <c r="E4" s="61"/>
      <c r="F4" s="66" t="str">
        <f>IF(OR(D4="",E4=""),"",IF(D4&gt;E4,B4,IF(E4&gt;D4,C4,"REPLAY")))</f>
        <v/>
      </c>
      <c r="G4" s="21" t="s">
        <v>27</v>
      </c>
      <c r="H4" s="62" t="str">
        <f>IFERROR(INDEX('Match Schedule'!$B$6:$B$79,MATCH("FINAL",'Match Schedule'!#REF!,0)),"")</f>
        <v/>
      </c>
      <c r="I4" s="63" t="str">
        <f>IFERROR(INDEX('Match Schedule'!$D$6:$D$79,MATCH("FINAL",'Match Schedule'!#REF!,0)),"")</f>
        <v/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Overview</vt:lpstr>
      <vt:lpstr>Match Schedule</vt:lpstr>
      <vt:lpstr>Team Schedule</vt:lpstr>
      <vt:lpstr>Groups A-H</vt:lpstr>
      <vt:lpstr>Group Fixtures</vt:lpstr>
      <vt:lpstr>Standings</vt:lpstr>
      <vt:lpstr>Qualifiers</vt:lpstr>
      <vt:lpstr>Round of 16</vt:lpstr>
      <vt:lpstr>Quarter-Finals</vt:lpstr>
      <vt:lpstr>Semi-Finals</vt:lpstr>
      <vt:lpstr>Final</vt:lpstr>
      <vt:lpstr>'Match Schedule'!Print_Titles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cp:lastPrinted>2026-09-25T08:22:07Z</cp:lastPrinted>
  <dcterms:created xsi:type="dcterms:W3CDTF">2026-09-24T07:04:55Z</dcterms:created>
  <dcterms:modified xsi:type="dcterms:W3CDTF">2026-09-27T16:21:54Z</dcterms:modified>
  <dc:language>en-US</dc:language>
</cp:coreProperties>
</file>